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90f7efe2a3410304/Documents/"/>
    </mc:Choice>
  </mc:AlternateContent>
  <xr:revisionPtr revIDLastSave="1312" documentId="8_{7CBB518E-3D7E-43DC-ADE2-F2C2B1E98506}" xr6:coauthVersionLast="47" xr6:coauthVersionMax="47" xr10:uidLastSave="{CFE85B14-0CFB-4F00-AE56-E09B3802A362}"/>
  <bookViews>
    <workbookView xWindow="-108" yWindow="-108" windowWidth="23256" windowHeight="12456" firstSheet="1" activeTab="9" xr2:uid="{59E25334-5A11-4931-A522-58CB4B5FCA2E}"/>
  </bookViews>
  <sheets>
    <sheet name="pivots" sheetId="4" r:id="rId1"/>
    <sheet name="Sheet5" sheetId="5" r:id="rId2"/>
    <sheet name="Sheet6" sheetId="6" r:id="rId3"/>
    <sheet name="Sheet7" sheetId="7" r:id="rId4"/>
    <sheet name="Sheet8" sheetId="8" r:id="rId5"/>
    <sheet name="Sheet9" sheetId="9" r:id="rId6"/>
    <sheet name="Questions &amp; KPIs" sheetId="2" r:id="rId7"/>
    <sheet name="Sheet10" sheetId="10" r:id="rId8"/>
    <sheet name="data" sheetId="1" r:id="rId9"/>
    <sheet name="Dashboard" sheetId="3" r:id="rId10"/>
  </sheets>
  <definedNames>
    <definedName name="_xlchart.v5.0" hidden="1">Sheet8!$K$3:$L$3</definedName>
    <definedName name="_xlchart.v5.1" hidden="1">Sheet8!$K$4:$L$61</definedName>
    <definedName name="_xlchart.v5.2" hidden="1">Sheet8!$M$3</definedName>
    <definedName name="_xlchart.v5.3" hidden="1">Sheet8!$M$4:$M$61</definedName>
    <definedName name="_xlchart.v5.4" hidden="1">Sheet8!$G$3:$H$3</definedName>
    <definedName name="_xlchart.v5.5" hidden="1">Sheet8!$G$4:$H$61</definedName>
    <definedName name="_xlchart.v5.6" hidden="1">Sheet8!$I$3</definedName>
    <definedName name="_xlchart.v5.7" hidden="1">Sheet8!$I$4:$I$61</definedName>
    <definedName name="Slicer_Gender_Value">#N/A</definedName>
    <definedName name="Slicer_Order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5" l="1"/>
  <c r="K8" i="5"/>
  <c r="K9" i="5"/>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4" i="8"/>
  <c r="K5" i="8"/>
  <c r="L5" i="8"/>
  <c r="K6" i="8"/>
  <c r="L6" i="8"/>
  <c r="K7" i="8"/>
  <c r="L7" i="8"/>
  <c r="K8" i="8"/>
  <c r="L8" i="8"/>
  <c r="K9" i="8"/>
  <c r="L9" i="8"/>
  <c r="K10" i="8"/>
  <c r="L10" i="8"/>
  <c r="K11" i="8"/>
  <c r="L11" i="8"/>
  <c r="K12" i="8"/>
  <c r="L12" i="8"/>
  <c r="K13" i="8"/>
  <c r="L13" i="8"/>
  <c r="K14" i="8"/>
  <c r="L14" i="8"/>
  <c r="K15" i="8"/>
  <c r="L15" i="8"/>
  <c r="K16" i="8"/>
  <c r="L16" i="8"/>
  <c r="K17" i="8"/>
  <c r="L17" i="8"/>
  <c r="K18" i="8"/>
  <c r="L18" i="8"/>
  <c r="K19" i="8"/>
  <c r="L19" i="8"/>
  <c r="K20" i="8"/>
  <c r="L20" i="8"/>
  <c r="K21" i="8"/>
  <c r="L21" i="8"/>
  <c r="K22" i="8"/>
  <c r="L22" i="8"/>
  <c r="K23" i="8"/>
  <c r="L23" i="8"/>
  <c r="K24" i="8"/>
  <c r="L24" i="8"/>
  <c r="K25" i="8"/>
  <c r="L25" i="8"/>
  <c r="K26" i="8"/>
  <c r="L26" i="8"/>
  <c r="K27" i="8"/>
  <c r="L27" i="8"/>
  <c r="K28" i="8"/>
  <c r="L28" i="8"/>
  <c r="K29" i="8"/>
  <c r="L29" i="8"/>
  <c r="K30" i="8"/>
  <c r="L30" i="8"/>
  <c r="K31" i="8"/>
  <c r="L31" i="8"/>
  <c r="K32" i="8"/>
  <c r="L32" i="8"/>
  <c r="K33" i="8"/>
  <c r="L33" i="8"/>
  <c r="K34" i="8"/>
  <c r="L34" i="8"/>
  <c r="K35" i="8"/>
  <c r="L35" i="8"/>
  <c r="K36" i="8"/>
  <c r="L36" i="8"/>
  <c r="K37" i="8"/>
  <c r="L37" i="8"/>
  <c r="K38" i="8"/>
  <c r="L38" i="8"/>
  <c r="K39" i="8"/>
  <c r="L39" i="8"/>
  <c r="K40" i="8"/>
  <c r="L40" i="8"/>
  <c r="K41" i="8"/>
  <c r="L41" i="8"/>
  <c r="K42" i="8"/>
  <c r="L42" i="8"/>
  <c r="K43" i="8"/>
  <c r="L43" i="8"/>
  <c r="K44" i="8"/>
  <c r="L44" i="8"/>
  <c r="K45" i="8"/>
  <c r="L45" i="8"/>
  <c r="K46" i="8"/>
  <c r="L46" i="8"/>
  <c r="K47" i="8"/>
  <c r="L47" i="8"/>
  <c r="K48" i="8"/>
  <c r="L48" i="8"/>
  <c r="K49" i="8"/>
  <c r="L49" i="8"/>
  <c r="K50" i="8"/>
  <c r="L50" i="8"/>
  <c r="K51" i="8"/>
  <c r="L51" i="8"/>
  <c r="K52" i="8"/>
  <c r="L52" i="8"/>
  <c r="K53" i="8"/>
  <c r="L53" i="8"/>
  <c r="K54" i="8"/>
  <c r="L54" i="8"/>
  <c r="K55" i="8"/>
  <c r="L55" i="8"/>
  <c r="K56" i="8"/>
  <c r="L56" i="8"/>
  <c r="K57" i="8"/>
  <c r="L57" i="8"/>
  <c r="K58" i="8"/>
  <c r="L58" i="8"/>
  <c r="K59" i="8"/>
  <c r="L59" i="8"/>
  <c r="K60" i="8"/>
  <c r="L60" i="8"/>
  <c r="K61" i="8"/>
  <c r="L61" i="8"/>
  <c r="L4" i="8"/>
  <c r="K4" i="8"/>
  <c r="G5" i="8"/>
  <c r="H5" i="8"/>
  <c r="I5" i="8"/>
  <c r="G6" i="8"/>
  <c r="H6" i="8"/>
  <c r="I6" i="8"/>
  <c r="G7" i="8"/>
  <c r="H7" i="8"/>
  <c r="I7" i="8"/>
  <c r="G8" i="8"/>
  <c r="H8" i="8"/>
  <c r="I8" i="8"/>
  <c r="G9" i="8"/>
  <c r="H9" i="8"/>
  <c r="I9" i="8"/>
  <c r="G10" i="8"/>
  <c r="H10" i="8"/>
  <c r="I10" i="8"/>
  <c r="G11" i="8"/>
  <c r="H11" i="8"/>
  <c r="I11" i="8"/>
  <c r="G12" i="8"/>
  <c r="H12" i="8"/>
  <c r="I12" i="8"/>
  <c r="G13" i="8"/>
  <c r="H13" i="8"/>
  <c r="I13" i="8"/>
  <c r="G14" i="8"/>
  <c r="H14" i="8"/>
  <c r="I14" i="8"/>
  <c r="G15" i="8"/>
  <c r="H15" i="8"/>
  <c r="I15" i="8"/>
  <c r="G16" i="8"/>
  <c r="H16" i="8"/>
  <c r="I16" i="8"/>
  <c r="G17" i="8"/>
  <c r="H17" i="8"/>
  <c r="I17" i="8"/>
  <c r="G18" i="8"/>
  <c r="H18" i="8"/>
  <c r="I18" i="8"/>
  <c r="G19" i="8"/>
  <c r="H19" i="8"/>
  <c r="I19" i="8"/>
  <c r="G20" i="8"/>
  <c r="H20" i="8"/>
  <c r="I20" i="8"/>
  <c r="G21" i="8"/>
  <c r="H21" i="8"/>
  <c r="I21" i="8"/>
  <c r="G22" i="8"/>
  <c r="H22" i="8"/>
  <c r="I22" i="8"/>
  <c r="G23" i="8"/>
  <c r="H23" i="8"/>
  <c r="I23" i="8"/>
  <c r="G24" i="8"/>
  <c r="H24" i="8"/>
  <c r="I24" i="8"/>
  <c r="G25" i="8"/>
  <c r="H25" i="8"/>
  <c r="I25" i="8"/>
  <c r="G26" i="8"/>
  <c r="H26" i="8"/>
  <c r="I26" i="8"/>
  <c r="G27" i="8"/>
  <c r="H27" i="8"/>
  <c r="I27" i="8"/>
  <c r="G28" i="8"/>
  <c r="H28" i="8"/>
  <c r="I28" i="8"/>
  <c r="G29" i="8"/>
  <c r="H29" i="8"/>
  <c r="I29" i="8"/>
  <c r="G30" i="8"/>
  <c r="H30" i="8"/>
  <c r="I30" i="8"/>
  <c r="G31" i="8"/>
  <c r="H31" i="8"/>
  <c r="I31" i="8"/>
  <c r="G32" i="8"/>
  <c r="H32" i="8"/>
  <c r="I32" i="8"/>
  <c r="G33" i="8"/>
  <c r="H33" i="8"/>
  <c r="I33" i="8"/>
  <c r="G34" i="8"/>
  <c r="H34" i="8"/>
  <c r="I34" i="8"/>
  <c r="G35" i="8"/>
  <c r="H35" i="8"/>
  <c r="I35" i="8"/>
  <c r="G36" i="8"/>
  <c r="H36" i="8"/>
  <c r="I36" i="8"/>
  <c r="G37" i="8"/>
  <c r="H37" i="8"/>
  <c r="I37" i="8"/>
  <c r="G38" i="8"/>
  <c r="H38" i="8"/>
  <c r="I38" i="8"/>
  <c r="G39" i="8"/>
  <c r="H39" i="8"/>
  <c r="I39" i="8"/>
  <c r="G40" i="8"/>
  <c r="H40" i="8"/>
  <c r="I40" i="8"/>
  <c r="G41" i="8"/>
  <c r="H41" i="8"/>
  <c r="I41" i="8"/>
  <c r="G42" i="8"/>
  <c r="H42" i="8"/>
  <c r="I42" i="8"/>
  <c r="G43" i="8"/>
  <c r="H43" i="8"/>
  <c r="I43" i="8"/>
  <c r="G44" i="8"/>
  <c r="H44" i="8"/>
  <c r="I44" i="8"/>
  <c r="G45" i="8"/>
  <c r="H45" i="8"/>
  <c r="I45" i="8"/>
  <c r="G46" i="8"/>
  <c r="H46" i="8"/>
  <c r="I46" i="8"/>
  <c r="G47" i="8"/>
  <c r="H47" i="8"/>
  <c r="I47" i="8"/>
  <c r="G48" i="8"/>
  <c r="H48" i="8"/>
  <c r="I48" i="8"/>
  <c r="G49" i="8"/>
  <c r="H49" i="8"/>
  <c r="I49" i="8"/>
  <c r="G50" i="8"/>
  <c r="H50" i="8"/>
  <c r="I50" i="8"/>
  <c r="G51" i="8"/>
  <c r="H51" i="8"/>
  <c r="I51" i="8"/>
  <c r="G52" i="8"/>
  <c r="H52" i="8"/>
  <c r="I52" i="8"/>
  <c r="G53" i="8"/>
  <c r="H53" i="8"/>
  <c r="I53" i="8"/>
  <c r="G54" i="8"/>
  <c r="H54" i="8"/>
  <c r="I54" i="8"/>
  <c r="G55" i="8"/>
  <c r="H55" i="8"/>
  <c r="I55" i="8"/>
  <c r="G56" i="8"/>
  <c r="H56" i="8"/>
  <c r="I56" i="8"/>
  <c r="G57" i="8"/>
  <c r="H57" i="8"/>
  <c r="I57" i="8"/>
  <c r="G58" i="8"/>
  <c r="H58" i="8"/>
  <c r="I58" i="8"/>
  <c r="G59" i="8"/>
  <c r="H59" i="8"/>
  <c r="I59" i="8"/>
  <c r="G60" i="8"/>
  <c r="H60" i="8"/>
  <c r="I60" i="8"/>
  <c r="G61" i="8"/>
  <c r="H61" i="8"/>
  <c r="I61" i="8"/>
  <c r="H4" i="8"/>
  <c r="I4" i="8"/>
  <c r="G4" i="8"/>
  <c r="I4" i="5"/>
  <c r="J4" i="5"/>
  <c r="L5" i="5"/>
  <c r="K4" i="5"/>
  <c r="L4" i="5"/>
  <c r="I5" i="5"/>
  <c r="J5" i="5"/>
  <c r="K5" i="5"/>
  <c r="I6" i="5"/>
  <c r="J6" i="5"/>
  <c r="K6" i="5"/>
  <c r="L6" i="5"/>
  <c r="I7" i="5"/>
  <c r="J7" i="5"/>
  <c r="L7" i="5"/>
  <c r="I8" i="5"/>
  <c r="J8" i="5"/>
  <c r="L8" i="5"/>
  <c r="I9" i="5"/>
  <c r="J9" i="5"/>
  <c r="L9" i="5"/>
  <c r="H6" i="5"/>
  <c r="H7" i="5"/>
  <c r="H8" i="5"/>
  <c r="H9" i="5"/>
  <c r="H5" i="5"/>
  <c r="K4" i="4"/>
  <c r="L4" i="4"/>
  <c r="J4" i="4"/>
  <c r="I4" i="4"/>
  <c r="H4" i="4"/>
  <c r="O2401" i="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<sst xmlns="http://schemas.openxmlformats.org/spreadsheetml/2006/main" count="14642" uniqueCount="2544">
  <si>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</si>
  <si>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</si>
  <si>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</si>
  <si>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</si>
  <si>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</si>
  <si>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</si>
  <si>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</si>
  <si>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</si>
  <si>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</si>
  <si>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</si>
  <si>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</si>
  <si>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</si>
  <si>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</si>
  <si>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</si>
  <si>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</si>
  <si>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</si>
  <si>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</si>
  <si>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</si>
  <si>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</si>
  <si>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</si>
  <si>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</si>
  <si>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</si>
  <si>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</si>
  <si>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</si>
  <si>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</si>
  <si>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</si>
  <si>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</si>
  <si>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</si>
  <si>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</si>
  <si>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</si>
  <si>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</si>
  <si>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</si>
  <si>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</si>
  <si>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</si>
  <si>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</si>
  <si>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</si>
  <si>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</si>
  <si>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</si>
  <si>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</si>
  <si>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</si>
  <si>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</si>
  <si>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</si>
  <si>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</si>
  <si>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</si>
  <si>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</si>
  <si>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</si>
  <si>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</si>
  <si>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</si>
  <si>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</si>
  <si>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</si>
  <si>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</si>
  <si>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</si>
  <si>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</si>
  <si>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</si>
  <si>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</si>
  <si>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</si>
  <si>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</si>
  <si>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</si>
  <si>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</si>
  <si>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</si>
  <si>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</si>
  <si>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</si>
  <si>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</si>
  <si>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</si>
  <si>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</si>
  <si>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</si>
  <si>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</si>
  <si>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</si>
  <si>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</si>
  <si>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</si>
  <si>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</si>
  <si>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</si>
  <si>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</si>
  <si>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</si>
  <si>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</si>
  <si>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</si>
  <si>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</si>
  <si>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</si>
  <si>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</si>
  <si>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</si>
  <si>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</si>
  <si>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</si>
  <si>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</si>
  <si>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</si>
  <si>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</si>
  <si>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</si>
  <si>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</si>
  <si>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</si>
  <si>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</si>
  <si>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</si>
  <si>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</si>
  <si>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</si>
  <si>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</si>
  <si>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</si>
  <si>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</si>
  <si>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</si>
  <si>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</si>
  <si>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</si>
  <si>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</si>
  <si>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</si>
  <si>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</si>
  <si>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</si>
  <si>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</si>
  <si>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</si>
  <si>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</si>
  <si>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</si>
  <si>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</si>
  <si>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</si>
  <si>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</si>
  <si>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</si>
  <si>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</si>
  <si>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</si>
  <si>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</si>
  <si>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</si>
  <si>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</si>
  <si>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</si>
  <si>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</si>
  <si>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</si>
  <si>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</si>
  <si>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</si>
  <si>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</si>
  <si>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</si>
  <si>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</si>
  <si>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</si>
  <si>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</si>
  <si>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</si>
  <si>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</si>
  <si>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</si>
  <si>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</si>
  <si>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</si>
  <si>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</si>
  <si>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</si>
  <si>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</si>
  <si>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</si>
  <si>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</si>
  <si>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</si>
  <si>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</si>
  <si>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</si>
  <si>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</si>
  <si>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</si>
  <si>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</si>
  <si>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</si>
  <si>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</si>
  <si>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</si>
  <si>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</si>
  <si>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</si>
  <si>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</si>
  <si>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</si>
  <si>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</si>
  <si>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</si>
  <si>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</si>
  <si>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</si>
  <si>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</si>
  <si>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</si>
  <si>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</si>
  <si>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</si>
  <si>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</si>
  <si>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</si>
  <si>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</si>
  <si>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</si>
  <si>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</si>
  <si>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</si>
  <si>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</si>
  <si>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</si>
  <si>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</si>
  <si>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</si>
  <si>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</si>
  <si>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</si>
  <si>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</si>
  <si>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</si>
  <si>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</si>
  <si>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</si>
  <si>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</si>
  <si>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</si>
  <si>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</si>
  <si>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</si>
  <si>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</si>
  <si>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</si>
  <si>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</si>
  <si>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</si>
  <si>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</si>
  <si>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</si>
  <si>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</si>
  <si>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</si>
  <si>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</si>
  <si>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</si>
  <si>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</si>
  <si>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</si>
  <si>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</si>
  <si>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</si>
  <si>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</si>
  <si>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</si>
  <si>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</si>
  <si>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</si>
  <si>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</si>
  <si>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</si>
  <si>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</si>
  <si>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</si>
  <si>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</si>
  <si>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</si>
  <si>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</si>
  <si>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</si>
  <si>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</si>
  <si>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</si>
  <si>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</si>
  <si>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</si>
  <si>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</si>
  <si>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</si>
  <si>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</si>
  <si>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</si>
  <si>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</si>
  <si>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</si>
  <si>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</si>
  <si>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</si>
  <si>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</si>
  <si>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</si>
  <si>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</si>
  <si>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</si>
  <si>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</si>
  <si>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</si>
  <si>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</si>
  <si>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</si>
  <si>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</si>
  <si>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</si>
  <si>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</si>
  <si>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</si>
  <si>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</si>
  <si>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</si>
  <si>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</si>
  <si>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</si>
  <si>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</si>
  <si>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</si>
  <si>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</si>
  <si>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</si>
  <si>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</si>
  <si>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</si>
  <si>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</si>
  <si>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</si>
  <si>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</si>
  <si>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</si>
  <si>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</si>
  <si>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</si>
  <si>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</si>
  <si>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</si>
  <si>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</si>
  <si>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</si>
  <si>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</si>
  <si>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</si>
  <si>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</si>
  <si>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</si>
  <si>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</si>
  <si>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</si>
  <si>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</si>
  <si>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</si>
  <si>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</si>
  <si>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</si>
  <si>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</si>
  <si>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</si>
  <si>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</si>
  <si>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</si>
  <si>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</si>
  <si>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</si>
  <si>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</si>
  <si>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</si>
  <si>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</si>
  <si>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</si>
  <si>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</si>
  <si>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</si>
  <si>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</si>
  <si>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</si>
  <si>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</si>
  <si>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</si>
  <si>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</si>
  <si>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</si>
  <si>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</si>
  <si>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</si>
  <si>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</si>
  <si>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</si>
  <si>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</si>
  <si>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</si>
  <si>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</si>
  <si>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</si>
  <si>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</si>
  <si>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</si>
  <si>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</si>
  <si>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</si>
  <si>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</si>
  <si>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</si>
  <si>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</si>
  <si>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</si>
  <si>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</si>
  <si>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</si>
  <si>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</si>
  <si>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</si>
  <si>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</si>
  <si>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</si>
  <si>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</si>
  <si>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</si>
  <si>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</si>
  <si>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</si>
  <si>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</si>
  <si>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</si>
  <si>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</si>
  <si>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</si>
  <si>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</si>
  <si>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</si>
  <si>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</si>
  <si>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</si>
  <si>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</si>
  <si>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</si>
  <si>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</si>
  <si>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</si>
  <si>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</si>
  <si>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</si>
  <si>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</si>
  <si>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</si>
  <si>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</si>
  <si>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</si>
  <si>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</si>
  <si>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</si>
  <si>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</si>
  <si>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</si>
  <si>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</si>
  <si>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</si>
  <si>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</si>
  <si>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</si>
  <si>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</si>
  <si>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</si>
  <si>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</si>
  <si>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</si>
  <si>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</si>
  <si>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</si>
  <si>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</si>
  <si>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</si>
  <si>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</si>
  <si>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</si>
  <si>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</si>
  <si>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</si>
  <si>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</si>
  <si>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</si>
  <si>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</si>
  <si>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</si>
  <si>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</si>
  <si>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</si>
  <si>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</si>
  <si>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</si>
  <si>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</si>
  <si>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</si>
  <si>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</si>
  <si>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</si>
  <si>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</si>
  <si>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</si>
  <si>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</si>
  <si>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</si>
  <si>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</si>
  <si>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</si>
  <si>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</si>
  <si>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</si>
  <si>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</si>
  <si>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</si>
  <si>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</si>
  <si>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</si>
  <si>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</si>
  <si>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</si>
  <si>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</si>
  <si>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</si>
  <si>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</si>
  <si>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</si>
  <si>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</si>
  <si>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</si>
  <si>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</si>
  <si>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</si>
  <si>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</si>
  <si>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</si>
  <si>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</si>
  <si>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</si>
  <si>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</si>
  <si>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</si>
  <si>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</si>
  <si>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</si>
  <si>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</si>
  <si>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</si>
  <si>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</si>
  <si>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</si>
  <si>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</si>
  <si>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</si>
  <si>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</si>
  <si>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</si>
  <si>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</si>
  <si>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</si>
  <si>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</si>
  <si>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</si>
  <si>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</si>
  <si>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</si>
  <si>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</si>
  <si>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</si>
  <si>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</si>
  <si>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</si>
  <si>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</si>
  <si>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</si>
  <si>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</si>
  <si>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</si>
  <si>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</si>
  <si>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</si>
  <si>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</si>
  <si>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</si>
  <si>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</si>
  <si>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</si>
  <si>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</si>
  <si>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</si>
  <si>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</si>
  <si>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</si>
  <si>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</si>
  <si>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</si>
  <si>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</si>
  <si>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</si>
  <si>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</si>
  <si>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</si>
  <si>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</si>
  <si>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</si>
  <si>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</si>
  <si>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</si>
  <si>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</si>
  <si>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</si>
  <si>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</si>
  <si>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</si>
  <si>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</si>
  <si>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</si>
  <si>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</si>
  <si>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</si>
  <si>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</si>
  <si>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</si>
  <si>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</si>
  <si>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</si>
  <si>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</si>
  <si>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</si>
  <si>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</si>
  <si>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</si>
  <si>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</si>
  <si>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</si>
  <si>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</si>
  <si>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</si>
  <si>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</si>
  <si>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</si>
  <si>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</si>
  <si>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</si>
  <si>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</si>
  <si>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</si>
  <si>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</si>
  <si>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</si>
  <si>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</si>
  <si>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</si>
  <si>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</si>
  <si>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</si>
  <si>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</si>
  <si>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</si>
  <si>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</si>
  <si>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</si>
  <si>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</si>
  <si>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</si>
  <si>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</si>
  <si>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</si>
  <si>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</si>
  <si>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</si>
  <si>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</si>
  <si>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</si>
  <si>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</si>
  <si>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</si>
  <si>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</si>
  <si>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</si>
  <si>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</si>
  <si>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</si>
  <si>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</si>
  <si>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</si>
  <si>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</si>
  <si>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</si>
  <si>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</si>
  <si>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</si>
  <si>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</si>
  <si>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</si>
  <si>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</si>
  <si>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</si>
  <si>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</si>
  <si>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</si>
  <si>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</si>
  <si>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</si>
  <si>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</si>
  <si>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</si>
  <si>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</si>
  <si>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</si>
  <si>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</si>
  <si>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</si>
  <si>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</si>
  <si>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</si>
  <si>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</si>
  <si>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</si>
  <si>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</si>
  <si>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</si>
  <si>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</si>
  <si>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</si>
  <si>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</si>
  <si>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</si>
  <si>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</si>
  <si>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</si>
  <si>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</si>
  <si>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</si>
  <si>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</si>
  <si>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</si>
  <si>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</si>
  <si>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</si>
  <si>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</si>
  <si>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</si>
  <si>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</si>
  <si>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</si>
  <si>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</si>
  <si>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</si>
  <si>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</si>
  <si>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</si>
  <si>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</si>
  <si>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</si>
  <si>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</si>
  <si>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</si>
  <si>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</si>
  <si>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</si>
  <si>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</si>
  <si>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</si>
  <si>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</si>
  <si>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</si>
  <si>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</si>
  <si>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</si>
  <si>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</si>
  <si>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</si>
  <si>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</si>
  <si>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</si>
  <si>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</si>
  <si>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</si>
  <si>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</si>
  <si>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</si>
  <si>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</si>
  <si>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</si>
  <si>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</si>
  <si>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</si>
  <si>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</si>
  <si>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</si>
  <si>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</si>
  <si>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</si>
  <si>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</si>
  <si>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</si>
  <si>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</si>
  <si>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</si>
  <si>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</si>
  <si>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</si>
  <si>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</si>
  <si>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</si>
  <si>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</si>
  <si>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</si>
  <si>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</si>
  <si>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</si>
  <si>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</si>
  <si>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</si>
  <si>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</si>
  <si>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</si>
  <si>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</si>
  <si>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</si>
  <si>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</si>
  <si>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</si>
  <si>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</si>
  <si>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</si>
  <si>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</si>
  <si>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</si>
  <si>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</si>
  <si>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</si>
  <si>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</si>
  <si>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</si>
  <si>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</si>
  <si>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</si>
  <si>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</si>
  <si>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</si>
  <si>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</si>
  <si>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</si>
  <si>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</si>
  <si>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</si>
  <si>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</si>
  <si>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</si>
  <si>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</si>
  <si>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</si>
  <si>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</si>
  <si>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</si>
  <si>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</si>
  <si>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</si>
  <si>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</si>
  <si>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</si>
  <si>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</si>
  <si>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</si>
  <si>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</si>
  <si>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</si>
  <si>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</si>
  <si>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</si>
  <si>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</si>
  <si>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</si>
  <si>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</si>
  <si>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</si>
  <si>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</si>
  <si>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</si>
  <si>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</si>
  <si>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</si>
  <si>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</si>
  <si>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</si>
  <si>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</si>
  <si>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</si>
  <si>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</si>
  <si>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</si>
  <si>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</si>
  <si>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</si>
  <si>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</si>
  <si>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</si>
  <si>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</si>
  <si>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</si>
  <si>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</si>
  <si>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</si>
  <si>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</si>
  <si>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</si>
  <si>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</si>
  <si>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</si>
  <si>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</si>
  <si>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</si>
  <si>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</si>
  <si>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</si>
  <si>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</si>
  <si>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</si>
  <si>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</si>
  <si>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</si>
  <si>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</si>
  <si>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</si>
  <si>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</si>
  <si>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</si>
  <si>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</si>
  <si>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</si>
  <si>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</si>
  <si>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</si>
  <si>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</si>
  <si>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</si>
  <si>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</si>
  <si>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</si>
  <si>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</si>
  <si>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</si>
  <si>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</si>
  <si>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</si>
  <si>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</si>
  <si>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</si>
  <si>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</si>
  <si>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</si>
  <si>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</si>
  <si>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</si>
  <si>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</si>
  <si>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</si>
  <si>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</si>
  <si>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</si>
  <si>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</si>
  <si>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</si>
  <si>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</si>
  <si>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</si>
  <si>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</si>
  <si>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</si>
  <si>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</si>
  <si>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</si>
  <si>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</si>
  <si>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</si>
  <si>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</si>
  <si>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</si>
  <si>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</si>
  <si>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</si>
  <si>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</si>
  <si>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</si>
  <si>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</si>
  <si>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</si>
  <si>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</si>
  <si>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</si>
  <si>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</si>
  <si>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</si>
  <si>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</si>
  <si>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</si>
  <si>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</si>
  <si>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</si>
  <si>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</si>
  <si>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</si>
  <si>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</si>
  <si>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</si>
  <si>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</si>
  <si>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</si>
  <si>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</si>
  <si>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</si>
  <si>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</si>
  <si>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</si>
  <si>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</si>
  <si>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</si>
  <si>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</si>
  <si>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</si>
  <si>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</si>
  <si>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</si>
  <si>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</si>
  <si>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</si>
  <si>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</si>
  <si>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</si>
  <si>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</si>
  <si>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</si>
  <si>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</si>
  <si>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</si>
  <si>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</si>
  <si>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</si>
  <si>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</si>
  <si>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</si>
  <si>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</si>
  <si>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</si>
  <si>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</si>
  <si>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</si>
  <si>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</si>
  <si>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</si>
  <si>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</si>
  <si>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</si>
  <si>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</si>
  <si>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</si>
  <si>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</si>
  <si>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</si>
  <si>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</si>
  <si>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</si>
  <si>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</si>
  <si>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</si>
  <si>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</si>
  <si>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</si>
  <si>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</si>
  <si>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</si>
  <si>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</si>
  <si>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</si>
  <si>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</si>
  <si>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</si>
  <si>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</si>
  <si>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</si>
  <si>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</si>
  <si>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</si>
  <si>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</si>
  <si>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</si>
  <si>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</si>
  <si>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</si>
  <si>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</si>
  <si>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</si>
  <si>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</si>
  <si>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</si>
  <si>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</si>
  <si>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</si>
  <si>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</si>
  <si>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</si>
  <si>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</si>
  <si>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</si>
  <si>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</si>
  <si>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</si>
  <si>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</si>
  <si>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</si>
  <si>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</si>
  <si>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</si>
  <si>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</si>
  <si>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</si>
  <si>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</si>
  <si>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</si>
  <si>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</si>
  <si>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</si>
  <si>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</si>
  <si>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</si>
  <si>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</si>
  <si>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</si>
  <si>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</si>
  <si>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</si>
  <si>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</si>
  <si>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</si>
  <si>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</si>
  <si>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</si>
  <si>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</si>
  <si>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</si>
  <si>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</si>
  <si>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</si>
  <si>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</si>
  <si>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</si>
  <si>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</si>
  <si>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</si>
  <si>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</si>
  <si>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</si>
  <si>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</si>
  <si>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</si>
  <si>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</si>
  <si>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</si>
  <si>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</si>
  <si>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</si>
  <si>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</si>
  <si>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</si>
  <si>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</si>
  <si>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</si>
  <si>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</si>
  <si>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</si>
  <si>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</si>
  <si>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</si>
  <si>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</si>
  <si>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</si>
  <si>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</si>
  <si>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</si>
  <si>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</si>
  <si>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</si>
  <si>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</si>
  <si>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</si>
  <si>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</si>
  <si>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</si>
  <si>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</si>
  <si>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</si>
  <si>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</si>
  <si>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</si>
  <si>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</si>
  <si>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</si>
  <si>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</si>
  <si>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</si>
  <si>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</si>
  <si>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</si>
  <si>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</si>
  <si>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</si>
  <si>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</si>
  <si>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</si>
  <si>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</si>
  <si>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</si>
  <si>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</si>
  <si>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</si>
  <si>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</si>
  <si>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</si>
  <si>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</si>
  <si>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</si>
  <si>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</si>
  <si>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</si>
  <si>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</si>
  <si>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</si>
  <si>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</si>
  <si>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</si>
  <si>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</si>
  <si>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</si>
  <si>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</si>
  <si>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</si>
  <si>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</si>
  <si>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</si>
  <si>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</si>
  <si>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</si>
  <si>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</si>
  <si>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</si>
  <si>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</si>
  <si>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</si>
  <si>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</si>
  <si>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</si>
  <si>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</si>
  <si>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</si>
  <si>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</si>
  <si>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</si>
  <si>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</si>
  <si>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</si>
  <si>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</si>
  <si>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</si>
  <si>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</si>
  <si>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</si>
  <si>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</si>
  <si>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</si>
  <si>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</si>
  <si>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</si>
  <si>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</si>
  <si>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</si>
  <si>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</si>
  <si>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</si>
  <si>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</si>
  <si>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</si>
  <si>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</si>
  <si>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</si>
  <si>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</si>
  <si>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</si>
  <si>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</si>
  <si>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</si>
  <si>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</si>
  <si>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</si>
  <si>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</si>
  <si>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</si>
  <si>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</si>
  <si>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</si>
  <si>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</si>
  <si>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</si>
  <si>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</si>
  <si>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</si>
  <si>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</si>
  <si>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</si>
  <si>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</si>
  <si>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</si>
  <si>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</si>
  <si>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</si>
  <si>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</si>
  <si>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</si>
  <si>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</si>
  <si>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</si>
  <si>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</si>
  <si>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</si>
  <si>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</si>
  <si>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</si>
  <si>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</si>
  <si>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</si>
  <si>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</si>
  <si>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</si>
  <si>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</si>
  <si>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</si>
  <si>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</si>
  <si>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</si>
  <si>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</si>
  <si>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</si>
  <si>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</si>
  <si>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</si>
  <si>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</si>
  <si>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</si>
  <si>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</si>
  <si>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</si>
  <si>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</si>
  <si>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</si>
  <si>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</si>
  <si>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</si>
  <si>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</si>
  <si>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</si>
  <si>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</si>
  <si>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</si>
  <si>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</si>
  <si>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</si>
  <si>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</si>
  <si>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</si>
  <si>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</si>
  <si>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</si>
  <si>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</si>
  <si>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</si>
  <si>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</si>
  <si>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</si>
  <si>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</si>
  <si>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</si>
  <si>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</si>
  <si>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</si>
  <si>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</si>
  <si>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</si>
  <si>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</si>
  <si>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</si>
  <si>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</si>
  <si>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</si>
  <si>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</si>
  <si>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</si>
  <si>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</si>
  <si>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</si>
  <si>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</si>
  <si>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</si>
  <si>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</si>
  <si>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</si>
  <si>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</si>
  <si>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</si>
  <si>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</si>
  <si>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</si>
  <si>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</si>
  <si>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</si>
  <si>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</si>
  <si>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</si>
  <si>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</si>
  <si>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</si>
  <si>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</si>
  <si>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</si>
  <si>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</si>
  <si>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</si>
  <si>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</si>
  <si>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</si>
  <si>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</si>
  <si>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</si>
  <si>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</si>
  <si>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</si>
  <si>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</si>
  <si>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</si>
  <si>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</si>
  <si>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</si>
  <si>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</si>
  <si>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</si>
  <si>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</si>
  <si>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</si>
  <si>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</si>
  <si>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</si>
  <si>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</si>
  <si>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</si>
  <si>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</si>
  <si>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</si>
  <si>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</si>
  <si>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</si>
  <si>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</si>
  <si>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</si>
  <si>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</si>
  <si>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</si>
  <si>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</si>
  <si>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</si>
  <si>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</si>
  <si>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</si>
  <si>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</si>
  <si>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</si>
  <si>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</si>
  <si>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</si>
  <si>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</si>
  <si>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</si>
  <si>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</si>
  <si>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</si>
  <si>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</si>
  <si>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</si>
  <si>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</si>
  <si>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</si>
  <si>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</si>
  <si>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</si>
  <si>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</si>
  <si>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</si>
  <si>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</si>
  <si>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</si>
  <si>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</si>
  <si>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</si>
  <si>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</si>
  <si>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</si>
  <si>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</si>
  <si>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</si>
  <si>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</si>
  <si>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</si>
  <si>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</si>
  <si>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</si>
  <si>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</si>
  <si>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</si>
  <si>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</si>
  <si>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</si>
  <si>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</si>
  <si>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</si>
  <si>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</si>
  <si>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</si>
  <si>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</si>
  <si>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</si>
  <si>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</si>
  <si>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</si>
  <si>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</si>
  <si>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</si>
  <si>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</si>
  <si>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</si>
  <si>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</si>
  <si>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</si>
  <si>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</si>
  <si>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</si>
  <si>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</si>
  <si>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</si>
  <si>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</si>
  <si>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</si>
  <si>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</si>
  <si>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</si>
  <si>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</si>
  <si>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</si>
  <si>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</si>
  <si>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</si>
  <si>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</si>
  <si>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</si>
  <si>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</si>
  <si>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</si>
  <si>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</si>
  <si>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</si>
  <si>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</si>
  <si>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</si>
  <si>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</si>
  <si>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</si>
  <si>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</si>
  <si>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</si>
  <si>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</si>
  <si>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</si>
  <si>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</si>
  <si>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</si>
  <si>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</si>
  <si>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</si>
  <si>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</si>
  <si>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</si>
  <si>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</si>
  <si>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</si>
  <si>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</si>
  <si>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</si>
  <si>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</si>
  <si>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</si>
  <si>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</si>
  <si>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</si>
  <si>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</si>
  <si>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</si>
  <si>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</si>
  <si>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</si>
  <si>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</si>
  <si>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</si>
  <si>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</si>
  <si>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</si>
  <si>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</si>
  <si>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</si>
  <si>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</si>
  <si>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</si>
  <si>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</si>
  <si>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</si>
  <si>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</si>
  <si>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</si>
  <si>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</si>
  <si>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</si>
  <si>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</si>
  <si>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</si>
  <si>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</si>
  <si>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</si>
  <si>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</si>
  <si>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</si>
  <si>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</si>
  <si>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</si>
  <si>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</si>
  <si>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</si>
  <si>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</si>
  <si>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</si>
  <si>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</si>
  <si>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</si>
  <si>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</si>
  <si>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</si>
  <si>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</si>
  <si>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</si>
  <si>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</si>
  <si>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</si>
  <si>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</si>
  <si>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</si>
  <si>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</si>
  <si>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</si>
  <si>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</si>
  <si>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</si>
  <si>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</si>
  <si>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</si>
  <si>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</si>
  <si>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</si>
  <si>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</si>
  <si>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</si>
  <si>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</si>
  <si>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</si>
  <si>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</si>
  <si>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</si>
  <si>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</si>
  <si>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</si>
  <si>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</si>
  <si>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</si>
  <si>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</si>
  <si>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</si>
  <si>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</si>
  <si>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</si>
  <si>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</si>
  <si>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</si>
  <si>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</si>
  <si>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</si>
  <si>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</si>
  <si>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</si>
  <si>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</si>
  <si>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</si>
  <si>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</si>
  <si>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</si>
  <si>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</si>
  <si>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</si>
  <si>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</si>
  <si>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</si>
  <si>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</si>
  <si>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</si>
  <si>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</si>
  <si>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</si>
  <si>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</si>
  <si>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</si>
  <si>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</si>
  <si>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</si>
  <si>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</si>
  <si>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</si>
  <si>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</si>
  <si>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</si>
  <si>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</si>
  <si>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</si>
  <si>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</si>
  <si>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</si>
  <si>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</si>
  <si>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</si>
  <si>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</si>
  <si>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</si>
  <si>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</si>
  <si>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</si>
  <si>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</si>
  <si>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</si>
  <si>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</si>
  <si>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</si>
  <si>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</si>
  <si>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</si>
  <si>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</si>
  <si>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</si>
  <si>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</si>
  <si>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</si>
  <si>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</si>
  <si>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</si>
  <si>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</si>
  <si>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</si>
  <si>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</si>
  <si>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</si>
  <si>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</si>
  <si>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</si>
  <si>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</si>
  <si>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</si>
  <si>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</si>
  <si>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</si>
  <si>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</si>
  <si>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</si>
  <si>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</si>
  <si>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</si>
  <si>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</si>
  <si>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</si>
  <si>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</si>
  <si>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</si>
  <si>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</si>
  <si>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</si>
  <si>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</si>
  <si>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</si>
  <si>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</si>
  <si>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</si>
  <si>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</si>
  <si>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</si>
  <si>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</si>
  <si>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</si>
  <si>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</si>
  <si>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</si>
  <si>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</si>
  <si>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</si>
  <si>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</si>
  <si>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</si>
  <si>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</si>
  <si>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</si>
  <si>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</si>
  <si>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</si>
  <si>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</si>
  <si>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</si>
  <si>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</si>
  <si>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</si>
  <si>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</si>
  <si>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</si>
  <si>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</si>
  <si>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</si>
  <si>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</si>
  <si>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</si>
  <si>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</si>
  <si>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</si>
  <si>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</si>
  <si>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</si>
  <si>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</si>
  <si>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</si>
  <si>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</si>
  <si>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</si>
  <si>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</si>
  <si>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</si>
  <si>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</si>
  <si>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</si>
  <si>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</si>
  <si>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</si>
  <si>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</si>
  <si>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</si>
  <si>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</si>
  <si>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</si>
  <si>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</si>
  <si>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</si>
  <si>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</si>
  <si>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</si>
  <si>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</si>
  <si>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</si>
  <si>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</si>
  <si>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</si>
  <si>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</si>
  <si>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</si>
  <si>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</si>
  <si>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</si>
  <si>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</si>
  <si>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</si>
  <si>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</si>
  <si>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</si>
  <si>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</si>
  <si>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</si>
  <si>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</si>
  <si>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</si>
  <si>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</si>
  <si>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</si>
  <si>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</si>
  <si>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</si>
  <si>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</si>
  <si>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</si>
  <si>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</si>
  <si>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</si>
  <si>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</si>
  <si>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</si>
  <si>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</si>
  <si>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</si>
  <si>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</si>
  <si>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</si>
  <si>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</si>
  <si>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</si>
  <si>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</si>
  <si>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</si>
  <si>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</si>
  <si>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</si>
  <si>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</si>
  <si>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</si>
  <si>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</si>
  <si>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</si>
  <si>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</si>
  <si>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</si>
  <si>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</si>
  <si>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</si>
  <si>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</si>
  <si>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</si>
  <si>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</si>
  <si>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</si>
  <si>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</si>
  <si>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</si>
  <si>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</si>
  <si>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</si>
  <si>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</si>
  <si>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</si>
  <si>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</si>
  <si>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</si>
  <si>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</si>
  <si>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</si>
  <si>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</si>
  <si>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</si>
  <si>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</si>
  <si>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</si>
  <si>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</si>
  <si>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</si>
  <si>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</si>
  <si>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</si>
  <si>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</si>
  <si>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</si>
  <si>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</si>
  <si>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</si>
  <si>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</si>
  <si>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</si>
  <si>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</si>
  <si>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</si>
  <si>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</si>
  <si>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</si>
  <si>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</si>
  <si>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</si>
  <si>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</si>
  <si>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</si>
  <si>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</si>
  <si>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</si>
  <si>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</si>
  <si>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</si>
  <si>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</si>
  <si>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</si>
  <si>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</si>
  <si>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</si>
  <si>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</si>
  <si>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</si>
  <si>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</si>
  <si>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</si>
  <si>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</si>
  <si>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</si>
  <si>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</si>
  <si>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</si>
  <si>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</si>
  <si>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</si>
  <si>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</si>
  <si>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</si>
  <si>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</si>
  <si>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</si>
  <si>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</si>
  <si>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</si>
  <si>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</si>
  <si>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</si>
  <si>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</si>
  <si>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</si>
  <si>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</si>
  <si>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</si>
  <si>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</si>
  <si>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</si>
  <si>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</si>
  <si>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</si>
  <si>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</si>
  <si>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</si>
  <si>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</si>
  <si>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</si>
  <si>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</si>
  <si>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</si>
  <si>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</si>
  <si>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</si>
  <si>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</si>
  <si>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</si>
  <si>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</si>
  <si>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</si>
  <si>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</si>
  <si>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</si>
  <si>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</si>
  <si>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</si>
  <si>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</si>
  <si>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</si>
  <si>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</si>
  <si>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</si>
  <si>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</si>
  <si>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</si>
  <si>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</si>
  <si>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</si>
  <si>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</si>
  <si>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</si>
  <si>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</si>
  <si>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</si>
  <si>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</si>
  <si>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</si>
  <si>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</si>
  <si>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</si>
  <si>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</si>
  <si>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</si>
  <si>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</si>
  <si>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</si>
  <si>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</si>
  <si>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</si>
  <si>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</si>
  <si>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</si>
  <si>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</si>
  <si>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</si>
  <si>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</si>
  <si>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</si>
  <si>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</si>
  <si>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</si>
  <si>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</si>
  <si>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</si>
  <si>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</si>
  <si>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</si>
  <si>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</si>
  <si>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</si>
  <si>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</si>
  <si>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</si>
  <si>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</si>
  <si>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</si>
  <si>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</si>
  <si>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</si>
  <si>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</si>
  <si>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</si>
  <si>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</si>
  <si>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</si>
  <si>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</si>
  <si>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</si>
  <si>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</si>
  <si>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</si>
  <si>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</si>
  <si>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</si>
  <si>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</si>
  <si>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</si>
  <si>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</si>
  <si>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</si>
  <si>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</si>
  <si>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</si>
  <si>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</si>
  <si>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</si>
  <si>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</si>
  <si>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</si>
  <si>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</si>
  <si>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</si>
  <si>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</si>
  <si>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</si>
  <si>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</si>
  <si>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</si>
  <si>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</si>
  <si>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</si>
  <si>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</si>
  <si>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</si>
  <si>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</si>
  <si>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</si>
  <si>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</si>
  <si>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</si>
  <si>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</si>
  <si>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</si>
  <si>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</si>
  <si>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</si>
  <si>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</si>
  <si>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</si>
  <si>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</si>
  <si>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</si>
  <si>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</si>
  <si>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</si>
  <si>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</si>
  <si>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</si>
  <si>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</si>
  <si>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</si>
  <si>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</si>
  <si>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</si>
  <si>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</si>
  <si>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</si>
  <si>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</si>
  <si>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</si>
  <si>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</si>
  <si>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</si>
  <si>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</si>
  <si>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</si>
  <si>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</si>
  <si>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</si>
  <si>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</si>
  <si>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</si>
  <si>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</si>
  <si>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</si>
  <si>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</si>
  <si>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</si>
  <si>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</si>
  <si>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</si>
  <si>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</si>
  <si>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</si>
  <si>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</si>
  <si>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</si>
  <si>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</si>
  <si>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</si>
  <si>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</si>
  <si>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</si>
  <si>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</si>
  <si>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</si>
  <si>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</si>
  <si>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</si>
  <si>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</si>
  <si>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</si>
  <si>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</si>
  <si>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</si>
  <si>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</si>
  <si>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</si>
  <si>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</si>
  <si>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</si>
  <si>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</si>
  <si>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</si>
  <si>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</si>
  <si>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</si>
  <si>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</si>
  <si>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</si>
  <si>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</si>
  <si>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</si>
  <si>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</si>
  <si>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</si>
  <si>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</si>
  <si>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</si>
  <si>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</si>
  <si>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</si>
  <si>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</si>
  <si>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</si>
  <si>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</si>
  <si>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</si>
  <si>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</si>
  <si>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</si>
  <si>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</si>
  <si>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</si>
  <si>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</si>
  <si>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</si>
  <si>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</si>
  <si>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</si>
  <si>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</si>
  <si>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</si>
  <si>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</si>
  <si>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</si>
  <si>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</si>
  <si>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</si>
  <si>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</si>
  <si>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</si>
  <si>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</si>
  <si>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</si>
  <si>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</si>
  <si>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</si>
  <si>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</si>
  <si>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</si>
  <si>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</si>
  <si>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</si>
  <si>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</si>
  <si>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</si>
  <si>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</si>
  <si>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</si>
  <si>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</si>
  <si>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</si>
  <si>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</si>
  <si>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</si>
  <si>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</si>
  <si>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</si>
  <si>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</si>
  <si>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</si>
  <si>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</si>
  <si>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</si>
  <si>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</si>
  <si>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</si>
  <si>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</si>
  <si>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</si>
  <si>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</si>
  <si>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</si>
  <si>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</si>
  <si>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</si>
  <si>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</si>
  <si>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</si>
  <si>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</si>
  <si>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</si>
  <si>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</si>
  <si>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</si>
  <si>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</si>
  <si>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</si>
  <si>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</si>
  <si>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</si>
  <si>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</si>
  <si>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</si>
  <si>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</si>
  <si>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</si>
  <si>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</si>
  <si>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</si>
  <si>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</si>
  <si>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</si>
  <si>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</si>
  <si>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</si>
  <si>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</si>
  <si>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</si>
  <si>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</si>
  <si>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</si>
  <si>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</si>
  <si>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</si>
  <si>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</si>
  <si>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</si>
  <si>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</si>
  <si>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</si>
  <si>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</si>
  <si>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</si>
  <si>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</si>
  <si>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</si>
  <si>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</si>
  <si>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</si>
  <si>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</si>
  <si>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</si>
  <si>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</si>
  <si>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</si>
  <si>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</si>
  <si>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</si>
  <si>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</si>
  <si>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</si>
  <si>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</si>
  <si>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</si>
  <si>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</si>
  <si>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</si>
  <si>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</si>
  <si>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</si>
  <si>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</si>
  <si>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</si>
  <si>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</si>
  <si>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</si>
  <si>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</si>
  <si>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</si>
  <si>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</si>
  <si>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</si>
  <si>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</si>
  <si>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</si>
  <si>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</si>
  <si>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</si>
  <si>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</si>
  <si>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</si>
  <si>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</si>
  <si>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</si>
  <si>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</si>
  <si>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</si>
  <si>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</si>
  <si>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</si>
  <si>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</si>
  <si>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</si>
  <si>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</si>
  <si>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</si>
  <si>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</si>
  <si>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</si>
  <si>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</si>
  <si>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</si>
  <si>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</si>
  <si>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</si>
  <si>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</si>
  <si>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</si>
  <si>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</si>
  <si>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</si>
  <si>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</si>
  <si>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</si>
  <si>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</si>
  <si>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</si>
  <si>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</si>
  <si>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</si>
  <si>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</si>
  <si>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</si>
  <si>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</si>
  <si>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</si>
  <si>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</si>
  <si>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</si>
  <si>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</si>
  <si>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</si>
  <si>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</si>
  <si>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</si>
  <si>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</si>
  <si>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</si>
  <si>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</si>
  <si>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</si>
  <si>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</si>
  <si>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</si>
  <si>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</si>
  <si>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</si>
  <si>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</si>
  <si>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</si>
  <si>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</si>
  <si>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</si>
  <si>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</si>
  <si>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</si>
  <si>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</si>
  <si>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</si>
  <si>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</si>
  <si>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</si>
  <si>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</si>
  <si>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</si>
  <si>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</si>
  <si>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</si>
  <si>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</si>
  <si>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</si>
  <si>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</si>
  <si>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</si>
  <si>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</si>
  <si>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</si>
  <si>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</si>
  <si>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</si>
  <si>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</si>
  <si>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</si>
  <si>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</si>
  <si>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</si>
  <si>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</si>
  <si>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</si>
  <si>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</si>
  <si>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</si>
  <si>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</si>
  <si>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</si>
  <si>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</si>
  <si>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</si>
  <si>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</si>
  <si>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</si>
  <si>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</si>
  <si>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</si>
  <si>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</si>
  <si>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</si>
  <si>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</si>
  <si>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</si>
  <si>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</si>
  <si>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</si>
  <si>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</si>
  <si>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</si>
  <si>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</si>
  <si>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</si>
  <si>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</si>
  <si>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</si>
  <si>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</si>
  <si>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</si>
  <si>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</si>
  <si>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</si>
  <si>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</si>
  <si>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</si>
  <si>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</si>
  <si>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</si>
  <si>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</si>
  <si>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</si>
  <si>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</si>
  <si>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</si>
  <si>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</si>
  <si>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</si>
  <si>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</si>
  <si>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</si>
  <si>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</si>
  <si>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</si>
  <si>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</si>
  <si>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</si>
  <si>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</si>
  <si>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</si>
  <si>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</si>
  <si>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</si>
  <si>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</si>
  <si>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</si>
  <si>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</si>
  <si>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</si>
  <si>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</si>
  <si>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</si>
  <si>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</si>
  <si>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</si>
  <si>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</si>
  <si>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</si>
  <si>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</si>
  <si>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</si>
  <si>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</si>
  <si>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</si>
  <si>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</si>
  <si>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</si>
  <si>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</si>
  <si>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</si>
  <si>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</si>
  <si>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</si>
  <si>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</si>
  <si>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</si>
  <si>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</si>
  <si>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</si>
  <si>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</si>
  <si>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</si>
  <si>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</si>
  <si>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</si>
  <si>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</si>
  <si>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</si>
  <si>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</si>
  <si>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</si>
  <si>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</si>
  <si>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</si>
  <si>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</si>
  <si>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</si>
  <si>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</si>
  <si>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</si>
  <si>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</si>
  <si>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</si>
  <si>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</si>
  <si>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</si>
  <si>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</si>
  <si>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</si>
  <si>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</si>
  <si>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</si>
  <si>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</si>
  <si>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</si>
  <si>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</si>
  <si>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</si>
  <si>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</si>
  <si>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</si>
  <si>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</si>
  <si>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</si>
  <si>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</si>
  <si>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</si>
  <si>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</si>
  <si>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</si>
  <si>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</si>
  <si>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</si>
  <si>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</si>
  <si>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</si>
  <si>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</si>
  <si>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</si>
  <si>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</si>
  <si>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</si>
  <si>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</si>
  <si>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</si>
  <si>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</si>
  <si>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</si>
  <si>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</si>
  <si>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</si>
  <si>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</si>
  <si>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</si>
  <si>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</si>
  <si>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</si>
  <si>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</si>
  <si>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</si>
  <si>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</si>
  <si>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</si>
  <si>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</si>
  <si>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</si>
  <si>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</si>
  <si>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</si>
  <si>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</si>
  <si>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</si>
  <si>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</si>
  <si>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</si>
  <si>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</si>
  <si>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</si>
  <si>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</si>
  <si>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</si>
  <si>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</si>
  <si>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</si>
  <si>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</si>
  <si>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</si>
  <si>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</si>
  <si>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</si>
  <si>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</si>
  <si>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</si>
  <si>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</si>
  <si>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</si>
  <si>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</si>
  <si>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</si>
  <si>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</si>
  <si>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</si>
  <si>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</si>
  <si>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</si>
  <si>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</si>
  <si>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</si>
  <si>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</si>
  <si>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</si>
  <si>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</si>
  <si>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</si>
  <si>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</si>
  <si>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</si>
  <si>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</si>
  <si>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</si>
  <si>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</si>
  <si>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</si>
  <si>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</si>
  <si>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</si>
  <si>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</si>
  <si>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</si>
  <si>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</si>
  <si>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</si>
  <si>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</si>
  <si>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</si>
  <si>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</si>
  <si>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</si>
  <si>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</si>
  <si>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</si>
  <si>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</si>
  <si>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</si>
  <si>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</si>
  <si>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</si>
  <si>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</si>
  <si>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</si>
  <si>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</si>
  <si>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</si>
  <si>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</si>
  <si>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</si>
  <si>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</si>
  <si>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</si>
  <si>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</si>
  <si>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</si>
  <si>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</si>
  <si>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</si>
  <si>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</si>
  <si>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</si>
  <si>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</si>
  <si>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</si>
  <si>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</si>
  <si>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</si>
  <si>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</si>
  <si>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</si>
  <si>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</si>
  <si>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</si>
  <si>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</si>
  <si>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</si>
  <si>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</si>
  <si>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</si>
  <si>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</si>
  <si>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</si>
  <si>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</si>
  <si>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</si>
  <si>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</si>
  <si>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</si>
  <si>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</si>
  <si>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</si>
  <si>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</si>
  <si>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</si>
  <si>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</si>
  <si>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</si>
  <si>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</si>
  <si>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</si>
  <si>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</si>
  <si>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</si>
  <si>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</si>
  <si>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</si>
  <si>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</si>
  <si>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</si>
  <si>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</si>
  <si>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</si>
  <si>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</si>
  <si>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</si>
  <si>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</si>
  <si>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</si>
  <si>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</si>
  <si>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</si>
  <si>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</si>
  <si>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</si>
  <si>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</si>
  <si>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</si>
  <si>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</si>
  <si>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</si>
  <si>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</si>
  <si>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</si>
  <si>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</si>
  <si>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</si>
  <si>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</si>
  <si>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</si>
  <si>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</si>
  <si>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</si>
  <si>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</si>
  <si>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</si>
  <si>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</si>
  <si>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</si>
  <si>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</si>
  <si>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</si>
  <si>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</si>
  <si>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</si>
  <si>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</si>
  <si>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</si>
  <si>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</si>
  <si>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</si>
  <si>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</si>
  <si>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</si>
  <si>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</si>
  <si>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</si>
  <si>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</si>
  <si>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</si>
  <si>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</si>
  <si>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</si>
  <si>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</si>
  <si>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</si>
  <si>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</si>
  <si>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</si>
  <si>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</si>
  <si>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</si>
  <si>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</si>
  <si>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</si>
  <si>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</si>
  <si>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</si>
  <si>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</si>
  <si>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</si>
  <si>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</si>
  <si>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</si>
  <si>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</si>
  <si>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</si>
  <si>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</si>
  <si>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</si>
  <si>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</si>
  <si>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</si>
  <si>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</si>
  <si>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</si>
  <si>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</si>
  <si>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</si>
  <si>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</si>
  <si>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</si>
  <si>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</si>
  <si>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</si>
  <si>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</si>
  <si>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</si>
  <si>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</si>
  <si>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</si>
  <si>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</si>
  <si>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</si>
  <si>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</si>
  <si>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</si>
  <si>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</si>
  <si>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</si>
  <si>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</si>
  <si>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</si>
  <si>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</si>
  <si>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</si>
  <si>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</si>
  <si>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</si>
  <si>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</si>
  <si>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</si>
  <si>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</si>
  <si>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</si>
  <si>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</si>
  <si>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</si>
  <si>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</si>
  <si>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</si>
  <si>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</si>
  <si>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</si>
  <si>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</si>
  <si>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</si>
  <si>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</si>
  <si>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</si>
  <si>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</si>
  <si>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</si>
  <si>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</si>
  <si>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</si>
  <si>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</si>
  <si>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</si>
  <si>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</si>
  <si>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</si>
  <si>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</si>
  <si>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</si>
  <si>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</si>
  <si>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</si>
  <si>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</si>
  <si>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</si>
  <si>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</si>
  <si>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</si>
  <si>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</si>
  <si>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</si>
  <si>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</si>
  <si>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</si>
  <si>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</si>
  <si>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</si>
  <si>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</si>
  <si>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</si>
  <si>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</si>
  <si>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</si>
  <si>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</si>
  <si>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</si>
  <si>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</si>
  <si>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</si>
  <si>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</si>
  <si>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</si>
  <si>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</si>
  <si>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</si>
  <si>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</si>
  <si>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</si>
  <si>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</si>
  <si>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</si>
  <si>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</si>
  <si>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</si>
  <si>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</si>
  <si>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</si>
  <si>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</si>
  <si>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</si>
  <si>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</si>
  <si>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</si>
  <si>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</si>
  <si>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</si>
  <si>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</si>
  <si>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</si>
  <si>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</si>
  <si>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</si>
  <si>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</si>
  <si>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</si>
  <si>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</si>
  <si>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</si>
  <si>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</si>
  <si>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</si>
  <si>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</si>
  <si>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</si>
  <si>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</si>
  <si>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</si>
  <si>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</si>
  <si>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</si>
  <si>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</si>
  <si>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</si>
  <si>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</si>
  <si>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</si>
  <si>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</si>
  <si>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</si>
  <si>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</si>
  <si>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</si>
  <si>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</si>
  <si>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</si>
  <si>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</si>
  <si>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</si>
  <si>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</si>
  <si>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</si>
  <si>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</si>
  <si>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</si>
  <si>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</si>
  <si>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</si>
  <si>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</si>
  <si>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</si>
  <si>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</si>
  <si>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</si>
  <si>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</si>
  <si>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</si>
  <si>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</si>
  <si>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</si>
  <si>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</si>
  <si>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</si>
  <si>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</si>
  <si>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</si>
  <si>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</si>
  <si>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</si>
  <si>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</si>
  <si>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</si>
  <si>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</si>
  <si>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</si>
  <si>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</si>
  <si>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</si>
  <si>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</si>
  <si>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</si>
  <si>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</si>
  <si>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</si>
  <si>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</si>
  <si>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</si>
  <si>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</si>
  <si>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</si>
  <si>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</si>
  <si>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</si>
  <si>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</si>
  <si>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</si>
  <si>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</si>
  <si>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</si>
  <si>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</si>
  <si>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</si>
  <si>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</si>
  <si>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</si>
  <si>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</si>
  <si>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</si>
  <si>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</si>
  <si>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</si>
  <si>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</si>
  <si>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</si>
  <si>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</si>
  <si>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</si>
  <si>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</si>
  <si>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</si>
  <si>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</si>
  <si>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</si>
  <si>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</si>
  <si>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</si>
  <si>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</si>
  <si>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</si>
  <si>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</si>
  <si>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</si>
  <si>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</si>
  <si>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</si>
  <si>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</si>
  <si>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</si>
  <si>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</si>
  <si>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</si>
  <si>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</si>
  <si>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</si>
  <si>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</si>
  <si>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</si>
  <si>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</si>
  <si>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</si>
  <si>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</si>
  <si>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</si>
  <si>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</si>
  <si>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</si>
  <si>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</si>
  <si>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</si>
  <si>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</si>
  <si>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</si>
  <si>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</si>
  <si>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</si>
  <si>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</si>
  <si>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</si>
  <si>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</si>
  <si>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</si>
  <si>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</si>
  <si>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</si>
  <si>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</si>
  <si>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</si>
  <si>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</si>
  <si>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</si>
  <si>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</si>
  <si>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</si>
  <si>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</si>
  <si>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</si>
  <si>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</si>
  <si>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</si>
  <si>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</si>
  <si>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</si>
  <si>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</si>
  <si>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</si>
  <si>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</si>
  <si>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</si>
  <si>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</si>
  <si>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</si>
  <si>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</si>
  <si>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</si>
  <si>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</si>
  <si>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</si>
  <si>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</si>
  <si>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</si>
  <si>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</si>
  <si>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</si>
  <si>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</si>
  <si>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</si>
  <si>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</si>
  <si>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</si>
  <si>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</si>
  <si>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</si>
  <si>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</si>
  <si>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</si>
  <si>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</si>
  <si>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</si>
  <si>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</si>
  <si>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</si>
  <si>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</si>
  <si>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</si>
  <si>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</si>
  <si>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</si>
  <si>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</si>
  <si>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</si>
  <si>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</si>
  <si>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</si>
  <si>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</si>
  <si>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</si>
  <si>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</si>
  <si>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</si>
  <si>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</si>
  <si>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</si>
  <si>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</si>
  <si>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</si>
  <si>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</si>
  <si>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</si>
  <si>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</si>
  <si>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</si>
  <si>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</si>
  <si>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</si>
  <si>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</si>
  <si>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</si>
  <si>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</si>
  <si>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</si>
  <si>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</si>
  <si>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</si>
  <si>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</si>
  <si>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</si>
  <si>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</si>
  <si>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</si>
  <si>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</si>
  <si>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</si>
  <si>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</si>
  <si>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</si>
  <si>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</si>
  <si>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</si>
  <si>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</si>
  <si>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</si>
  <si>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</si>
  <si>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</si>
  <si>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</si>
  <si>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</si>
  <si>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</si>
  <si>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</si>
  <si>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</si>
  <si>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</si>
  <si>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</si>
  <si>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</si>
  <si>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</si>
  <si>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</si>
  <si>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</si>
  <si>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</si>
  <si>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</si>
  <si>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</si>
  <si>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</si>
  <si>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</si>
  <si>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</si>
  <si>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</si>
  <si>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</si>
  <si>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</si>
  <si>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</si>
  <si>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</si>
  <si>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</si>
  <si>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</si>
  <si>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</si>
  <si>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</si>
  <si>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</si>
  <si>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</si>
  <si>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</si>
  <si>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</si>
  <si>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</si>
  <si>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</si>
  <si>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</si>
  <si>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</si>
  <si>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</si>
  <si>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</si>
  <si>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</si>
  <si>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</si>
  <si>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</si>
  <si>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</si>
  <si>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</si>
  <si>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</si>
  <si>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</si>
  <si>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</si>
  <si>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</si>
  <si>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</si>
  <si>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</si>
  <si>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</si>
  <si>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</si>
  <si>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</si>
  <si>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</si>
  <si>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</si>
  <si>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</si>
  <si>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</si>
  <si>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</si>
  <si>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</si>
  <si>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</si>
  <si>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</si>
  <si>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</si>
  <si>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</si>
  <si>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</si>
  <si>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</si>
  <si>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</si>
  <si>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</si>
  <si>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</si>
  <si>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</si>
  <si>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</si>
  <si>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</si>
  <si>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</si>
  <si>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</si>
  <si>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</si>
  <si>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</si>
  <si>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</si>
  <si>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</si>
  <si>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</si>
  <si>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</si>
  <si>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</si>
  <si>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</si>
  <si>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</si>
  <si>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</si>
  <si>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</si>
  <si>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</si>
  <si>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</si>
  <si>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</si>
  <si>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</si>
  <si>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</si>
  <si>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</si>
  <si>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</si>
  <si>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</si>
  <si>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</si>
  <si>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</si>
  <si>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</si>
  <si>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</si>
  <si>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</si>
  <si>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</si>
  <si>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</si>
  <si>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</si>
  <si>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</si>
  <si>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</si>
  <si>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</si>
  <si>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</si>
  <si>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</si>
  <si>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</si>
  <si>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</si>
  <si>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</si>
  <si>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</si>
  <si>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</si>
  <si>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</si>
  <si>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</si>
  <si>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</si>
  <si>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</si>
  <si>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</si>
  <si>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</si>
  <si>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</si>
  <si>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</si>
  <si>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</si>
  <si>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</si>
  <si>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</si>
  <si>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</si>
  <si>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</si>
  <si>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</si>
  <si>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</si>
  <si>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</si>
  <si>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</si>
  <si>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</si>
  <si>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</si>
  <si>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</si>
  <si>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</si>
  <si>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</si>
  <si>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</si>
  <si>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</si>
  <si>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</si>
  <si>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</si>
  <si>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</si>
  <si>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</si>
  <si>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</si>
  <si>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</si>
  <si>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</si>
  <si>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</si>
  <si>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</si>
  <si>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</si>
  <si>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</si>
  <si>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</si>
  <si>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</si>
  <si>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</si>
  <si>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</si>
  <si>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</si>
  <si>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</si>
  <si>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</si>
  <si>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</si>
  <si>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</si>
  <si>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</si>
  <si>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</si>
  <si>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</si>
  <si>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</si>
  <si>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</si>
  <si>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</si>
  <si>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</si>
  <si>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</si>
  <si>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</si>
  <si>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</si>
  <si>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</si>
  <si>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</si>
  <si>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</si>
  <si>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</si>
  <si>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</si>
  <si>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</si>
  <si>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</si>
  <si>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</si>
  <si>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</si>
  <si>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</si>
  <si>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</si>
  <si>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</si>
  <si>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</si>
  <si>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</si>
  <si>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</si>
  <si>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</si>
  <si>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</si>
  <si>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</si>
  <si>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</si>
  <si>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</si>
  <si>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</si>
  <si>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</si>
  <si>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</si>
  <si>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</si>
  <si>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</si>
  <si>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</si>
  <si>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</si>
  <si>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</si>
  <si>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</si>
  <si>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</si>
  <si>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</si>
  <si>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</si>
  <si>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</si>
  <si>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</si>
  <si>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</si>
  <si>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</si>
  <si>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</si>
  <si>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</si>
  <si>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</si>
  <si>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</si>
  <si>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</si>
  <si>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</si>
  <si>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</si>
  <si>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</si>
  <si>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</si>
  <si>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</si>
  <si>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</si>
  <si>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</si>
  <si>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</si>
  <si>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</si>
  <si>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</si>
  <si>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</si>
  <si>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</si>
  <si>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</si>
  <si>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</si>
  <si>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</si>
  <si>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</si>
  <si>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</si>
  <si>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</si>
  <si>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</si>
  <si>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</si>
  <si>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</si>
  <si>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Days to Deliver</t>
  </si>
  <si>
    <t>Average of Rating C</t>
  </si>
  <si>
    <t>Values fro display</t>
  </si>
  <si>
    <t>Orders</t>
  </si>
  <si>
    <t>Qty</t>
  </si>
  <si>
    <t>Avg. Days</t>
  </si>
  <si>
    <t>For trends</t>
  </si>
  <si>
    <t>Row Labels</t>
  </si>
  <si>
    <t>Grand Total</t>
  </si>
  <si>
    <t>Column Labels</t>
  </si>
  <si>
    <t>Female</t>
  </si>
  <si>
    <t>Male</t>
  </si>
  <si>
    <t>Other</t>
  </si>
  <si>
    <t>Unknown</t>
  </si>
  <si>
    <t>For matrix</t>
  </si>
  <si>
    <t>Orders /Oty Analysis</t>
  </si>
  <si>
    <t>6 To 10</t>
  </si>
  <si>
    <t>More than 10</t>
  </si>
  <si>
    <t>map chart stuff (qty)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</si>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</sst>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0">
    <xf numFmtId="0" fontId="0" fillId="0" borderId="0" xfId="0"/>
    <xf numFmtId="0" fontId="0" fillId="2" borderId="0" xfId="0" applyFill="1"/>
    <xf numFmtId="15" fontId="0" fillId="0" borderId="0" xfId="0" applyNumberFormat="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1" xfId="0" applyNumberFormat="1" applyBorder="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[ecommerce_dashboard.xlsx]pivots!pvtTrends</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Last 13 weeks Trends : Qty &amp; Amount </a:t>
            </a:r>
          </a:p>
        </c:rich>
      </c:tx>
      <c:layout>
        <c:manualLayout>
          <c:xMode val="edge"/>
          <c:yMode val="edge"/>
          <c:x val="0.1407566018533398"/>
          <c:y val="1.388888888888888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3506-4818-89C7-6BA855AE13EB}"/>
            </c:ext>
          </c:extLst>
        </c:ser>
        <c:dLbls>
          <c:showLegendKey val="0"/>
          <c:showVal val="0"/>
          <c:showCatName val="0"/>
          <c:showSerName val="0"/>
          <c:showPercent val="0"/>
          <c:showBubbleSize val="0"/>
        </c:dLbls>
        <c:marker val="1"/>
        <c:smooth val="0"/>
        <c:axId val="1508926223"/>
        <c:axId val="1508930063"/>
      </c:lineChart>
      <c:lineChart>
        <c:grouping val="standard"/>
        <c:varyColors val="0"/>
        <c:ser>
          <c:idx val="1"/>
          <c:order val="1"/>
          <c:tx>
            <c:strRef>
              <c:f>pivots!$C$11</c:f>
              <c:strCache>
                <c:ptCount val="1"/>
                <c:pt idx="0">
                  <c:v>Sum of Amount</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3506-4818-89C7-6BA855AE13EB}"/>
            </c:ext>
          </c:extLst>
        </c:ser>
        <c:dLbls>
          <c:showLegendKey val="0"/>
          <c:showVal val="0"/>
          <c:showCatName val="0"/>
          <c:showSerName val="0"/>
          <c:showPercent val="0"/>
          <c:showBubbleSize val="0"/>
        </c:dLbls>
        <c:marker val="1"/>
        <c:smooth val="0"/>
        <c:axId val="14929855"/>
        <c:axId val="14914495"/>
      </c:lineChart>
      <c:catAx>
        <c:axId val="150892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30063"/>
        <c:crosses val="autoZero"/>
        <c:auto val="1"/>
        <c:lblAlgn val="ctr"/>
        <c:lblOffset val="100"/>
        <c:noMultiLvlLbl val="0"/>
      </c:catAx>
      <c:valAx>
        <c:axId val="150893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26223"/>
        <c:crosses val="autoZero"/>
        <c:crossBetween val="between"/>
      </c:valAx>
      <c:valAx>
        <c:axId val="14914495"/>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9855"/>
        <c:crosses val="max"/>
        <c:crossBetween val="between"/>
      </c:valAx>
      <c:catAx>
        <c:axId val="14929855"/>
        <c:scaling>
          <c:orientation val="minMax"/>
        </c:scaling>
        <c:delete val="1"/>
        <c:axPos val="b"/>
        <c:numFmt formatCode="General" sourceLinked="1"/>
        <c:majorTickMark val="out"/>
        <c:minorTickMark val="none"/>
        <c:tickLblPos val="nextTo"/>
        <c:crossAx val="149144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[ecommerce_dashboard.xlsx]Sheet6!pvtQty</c:name>
    <c:fmtId val="2"/>
  </c:pivotSource>
  <c:chart>
    <c:title>
      <c:tx>
        <c:rich>
          <a:bodyPr rot="0" spcFirstLastPara="1" vertOverflow="ellipsis" vert="horz" wrap="square" anchor="ctr" anchorCtr="1"/>
          <a:lstStyle/>
          <a:p>
            <a:pPr algn="l" rtl="0">
              <a:defRPr lang="en-US"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latin typeface="+mn-lt"/>
                <a:ea typeface="+mn-ea"/>
                <a:cs typeface="+mn-cs"/>
              </a:rPr>
              <a:t>How many they buy?</a:t>
            </a:r>
          </a:p>
        </c:rich>
      </c:tx>
      <c:overlay val="0"/>
      <c:spPr>
        <a:noFill/>
        <a:ln>
          <a:noFill/>
        </a:ln>
        <a:effectLst/>
      </c:spPr>
      <c:txPr>
        <a:bodyPr rot="0" spcFirstLastPara="1" vertOverflow="ellipsis" vert="horz" wrap="square" anchor="ctr" anchorCtr="1"/>
        <a:lstStyle/>
        <a:p>
          <a:pPr algn="l" rtl="0">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bg1"/>
            </a:solidFill>
          </a:ln>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6"/>
            </a:solidFill>
            <a:ln>
              <a:noFill/>
            </a:ln>
            <a:effectLst/>
          </c:spPr>
          <c:invertIfNegative val="0"/>
          <c:dPt>
            <c:idx val="1"/>
            <c:invertIfNegative val="0"/>
            <c:bubble3D val="0"/>
            <c:spPr>
              <a:solidFill>
                <a:schemeClr val="accent6"/>
              </a:solidFill>
              <a:ln>
                <a:solidFill>
                  <a:schemeClr val="bg1"/>
                </a:solidFill>
              </a:ln>
              <a:effectLst/>
            </c:spPr>
            <c:extLst>
              <c:ext xmlns:c16="http://schemas.microsoft.com/office/drawing/2014/chart" uri="{C3380CC4-5D6E-409C-BE32-E72D297353CC}">
                <c16:uniqueId val="{00000001-A90B-42E9-AAFC-3B2AFD98E98F}"/>
              </c:ext>
            </c:extLst>
          </c:dPt>
          <c:cat>
            <c:strRef>
              <c:f>Sheet6!$A$4:$A$11</c:f>
              <c:strCache>
                <c:ptCount val="7"/>
                <c:pt idx="0">
                  <c:v>1</c:v>
                </c:pt>
                <c:pt idx="1">
                  <c:v>2</c:v>
                </c:pt>
                <c:pt idx="2">
                  <c:v>3</c:v>
                </c:pt>
                <c:pt idx="3">
                  <c:v>4</c:v>
                </c:pt>
                <c:pt idx="4">
                  <c:v>5</c:v>
                </c:pt>
                <c:pt idx="5">
                  <c:v>6 To 10</c:v>
                </c:pt>
                <c:pt idx="6">
                  <c:v>More than 10</c:v>
                </c:pt>
              </c:strCache>
            </c:strRef>
          </c:cat>
          <c:val>
            <c:numRef>
              <c:f>Sheet6!$B$4:$B$11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A90B-42E9-AAFC-3B2AFD98E98F}"/>
            </c:ext>
          </c:extLst>
        </c:ser>
        <c:dLbls>
          <c:showLegendKey val="0"/>
          <c:showVal val="0"/>
          <c:showCatName val="0"/>
          <c:showSerName val="0"/>
          <c:showPercent val="0"/>
          <c:showBubbleSize val="0"/>
        </c:dLbls>
        <c:gapWidth val="0"/>
        <c:overlap val="-27"/>
        <c:axId val="14934655"/>
        <c:axId val="14935615"/>
      </c:barChart>
      <c:catAx>
        <c:axId val="1493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5615"/>
        <c:crosses val="autoZero"/>
        <c:auto val="1"/>
        <c:lblAlgn val="ctr"/>
        <c:lblOffset val="100"/>
        <c:noMultiLvlLbl val="0"/>
      </c:catAx>
      <c:valAx>
        <c:axId val="1493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[ecommerce_dashboard.xlsx]Sheet7!pvtProduct</c:name>
    <c:fmtId val="6"/>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IN" sz="1100">
                <a:solidFill>
                  <a:sysClr val="windowText" lastClr="000000"/>
                </a:solidFill>
              </a:rPr>
              <a:t>Which products are popular? Distributed by gender</a:t>
            </a:r>
          </a:p>
        </c:rich>
      </c:tx>
      <c:layout>
        <c:manualLayout>
          <c:xMode val="edge"/>
          <c:yMode val="edge"/>
          <c:x val="0.14432646676741162"/>
          <c:y val="1.7543859649122806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Female</c:v>
                </c:pt>
              </c:strCache>
            </c:strRef>
          </c:tx>
          <c:spPr>
            <a:solidFill>
              <a:schemeClr val="accent1"/>
            </a:solidFill>
            <a:ln>
              <a:solidFill>
                <a:schemeClr val="bg1"/>
              </a:solid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F6E-4B37-9605-3719DEB65FE9}"/>
            </c:ext>
          </c:extLst>
        </c:ser>
        <c:ser>
          <c:idx val="1"/>
          <c:order val="1"/>
          <c:tx>
            <c:strRef>
              <c:f>Sheet7!$C$3:$C$4</c:f>
              <c:strCache>
                <c:ptCount val="1"/>
                <c:pt idx="0">
                  <c:v>Male</c:v>
                </c:pt>
              </c:strCache>
            </c:strRef>
          </c:tx>
          <c:spPr>
            <a:solidFill>
              <a:schemeClr val="accent3"/>
            </a:solidFill>
            <a:ln>
              <a:solidFill>
                <a:schemeClr val="bg1"/>
              </a:solid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F6E-4B37-9605-3719DEB65FE9}"/>
            </c:ext>
          </c:extLst>
        </c:ser>
        <c:ser>
          <c:idx val="2"/>
          <c:order val="2"/>
          <c:tx>
            <c:strRef>
              <c:f>Sheet7!$D$3:$D$4</c:f>
              <c:strCache>
                <c:ptCount val="1"/>
                <c:pt idx="0">
                  <c:v>Other</c:v>
                </c:pt>
              </c:strCache>
            </c:strRef>
          </c:tx>
          <c:spPr>
            <a:solidFill>
              <a:schemeClr val="accent5"/>
            </a:solidFill>
            <a:ln>
              <a:solidFill>
                <a:schemeClr val="bg1"/>
              </a:solid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F6E-4B37-9605-3719DEB65FE9}"/>
            </c:ext>
          </c:extLst>
        </c:ser>
        <c:ser>
          <c:idx val="3"/>
          <c:order val="3"/>
          <c:tx>
            <c:strRef>
              <c:f>Sheet7!$E$3:$E$4</c:f>
              <c:strCache>
                <c:ptCount val="1"/>
                <c:pt idx="0">
                  <c:v>Unknown</c:v>
                </c:pt>
              </c:strCache>
            </c:strRef>
          </c:tx>
          <c:spPr>
            <a:solidFill>
              <a:schemeClr val="accent1">
                <a:lumMod val="60000"/>
              </a:schemeClr>
            </a:solidFill>
            <a:ln>
              <a:solidFill>
                <a:schemeClr val="bg1"/>
              </a:solidFill>
            </a:ln>
            <a:effectLst/>
          </c:spPr>
          <c:invertIfNegative val="0"/>
          <c:cat>
            <c:strRef>
              <c:f>Sheet7!$A$5:$A$25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Sheet7!$E$5:$E$25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F6E-4B37-9605-3719DEB65FE9}"/>
            </c:ext>
          </c:extLst>
        </c:ser>
        <c:dLbls>
          <c:showLegendKey val="0"/>
          <c:showVal val="0"/>
          <c:showCatName val="0"/>
          <c:showSerName val="0"/>
          <c:showPercent val="0"/>
          <c:showBubbleSize val="0"/>
        </c:dLbls>
        <c:gapWidth val="0"/>
        <c:overlap val="100"/>
        <c:axId val="169357439"/>
        <c:axId val="169349759"/>
      </c:barChart>
      <c:catAx>
        <c:axId val="169357439"/>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9759"/>
        <c:crosses val="autoZero"/>
        <c:auto val="1"/>
        <c:lblAlgn val="ctr"/>
        <c:lblOffset val="100"/>
        <c:noMultiLvlLbl val="0"/>
      </c:catAx>
      <c:valAx>
        <c:axId val="16934975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5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[ecommerce_dashboard.xlsx]Sheet7!gender</c:name>
    <c:fmtId val="13"/>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cmpd="sng">
              <a:noFill/>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hade val="58000"/>
            </a:schemeClr>
          </a:solidFill>
          <a:ln w="19050">
            <a:solidFill>
              <a:schemeClr val="lt1"/>
            </a:solidFill>
          </a:ln>
          <a:effectLst/>
        </c:spPr>
        <c:dLbl>
          <c:idx val="0"/>
          <c:layout>
            <c:manualLayout>
              <c:x val="0.19144806500251296"/>
              <c:y val="0.26339672230637046"/>
            </c:manualLayout>
          </c:layout>
          <c:spPr>
            <a:noFill/>
            <a:ln cmpd="sng">
              <a:noFill/>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57251968503937"/>
                  <c:h val="0.32975567651359011"/>
                </c:manualLayout>
              </c15:layout>
            </c:ext>
          </c:extLst>
        </c:dLbl>
      </c:pivotFmt>
      <c:pivotFmt>
        <c:idx val="8"/>
        <c:spPr>
          <a:solidFill>
            <a:schemeClr val="accent3">
              <a:shade val="86000"/>
            </a:schemeClr>
          </a:solidFill>
          <a:ln w="19050">
            <a:solidFill>
              <a:schemeClr val="lt1"/>
            </a:solidFill>
          </a:ln>
          <a:effectLst/>
        </c:spPr>
        <c:dLbl>
          <c:idx val="0"/>
          <c:layout>
            <c:manualLayout>
              <c:x val="-0.17021263332774891"/>
              <c:y val="0.23758149751972982"/>
            </c:manualLayout>
          </c:layout>
          <c:spPr>
            <a:noFill/>
            <a:ln cmpd="sng">
              <a:noFill/>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41797900262468"/>
                  <c:h val="0.34086561327485071"/>
                </c:manualLayout>
              </c15:layout>
            </c:ext>
          </c:extLst>
        </c:dLbl>
      </c:pivotFmt>
      <c:pivotFmt>
        <c:idx val="9"/>
        <c:spPr>
          <a:solidFill>
            <a:schemeClr val="accent3">
              <a:tint val="86000"/>
            </a:schemeClr>
          </a:solidFill>
          <a:ln w="19050">
            <a:solidFill>
              <a:schemeClr val="lt1"/>
            </a:solidFill>
          </a:ln>
          <a:effectLst/>
        </c:spPr>
        <c:dLbl>
          <c:idx val="0"/>
          <c:layout>
            <c:manualLayout>
              <c:x val="-0.25003314111486713"/>
              <c:y val="-0.12715675916555319"/>
            </c:manualLayout>
          </c:layout>
          <c:spPr>
            <a:noFill/>
            <a:ln cmpd="sng">
              <a:noFill/>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22281931464174454"/>
                  <c:h val="0.33855969275027065"/>
                </c:manualLayout>
              </c15:layout>
            </c:ext>
          </c:extLst>
        </c:dLbl>
      </c:pivotFmt>
      <c:pivotFmt>
        <c:idx val="10"/>
        <c:spPr>
          <a:solidFill>
            <a:schemeClr val="accent3">
              <a:tint val="58000"/>
            </a:schemeClr>
          </a:solidFill>
          <a:ln w="19050">
            <a:solidFill>
              <a:schemeClr val="lt1"/>
            </a:solidFill>
          </a:ln>
          <a:effectLst/>
        </c:spPr>
        <c:dLbl>
          <c:idx val="0"/>
          <c:layout>
            <c:manualLayout>
              <c:x val="0.36483513430502035"/>
              <c:y val="-3.4898617289447265E-2"/>
            </c:manualLayout>
          </c:layout>
          <c:numFmt formatCode="0.00%" sourceLinked="0"/>
          <c:spPr>
            <a:noFill/>
            <a:ln w="9525" cmpd="sng">
              <a:noFill/>
              <a:prstDash val="solid"/>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3943372703412072"/>
                  <c:h val="0.36053920273388645"/>
                </c:manualLayout>
              </c15:layout>
            </c:ext>
          </c:extLst>
        </c:dLbl>
      </c:pivotFmt>
    </c:pivotFmts>
    <c:plotArea>
      <c:layout/>
      <c:doughnutChart>
        <c:varyColors val="1"/>
        <c:ser>
          <c:idx val="0"/>
          <c:order val="0"/>
          <c:tx>
            <c:strRef>
              <c:f>Sheet7!$N$3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EE74-4345-BFB5-BA4D3C3C4E76}"/>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EE74-4345-BFB5-BA4D3C3C4E76}"/>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EE74-4345-BFB5-BA4D3C3C4E76}"/>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EE74-4345-BFB5-BA4D3C3C4E76}"/>
              </c:ext>
            </c:extLst>
          </c:dPt>
          <c:dLbls>
            <c:dLbl>
              <c:idx val="0"/>
              <c:layout>
                <c:manualLayout>
                  <c:x val="0.19144806500251296"/>
                  <c:y val="0.26339672230637046"/>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57251968503937"/>
                      <c:h val="0.32975567651359011"/>
                    </c:manualLayout>
                  </c15:layout>
                </c:ext>
                <c:ext xmlns:c16="http://schemas.microsoft.com/office/drawing/2014/chart" uri="{C3380CC4-5D6E-409C-BE32-E72D297353CC}">
                  <c16:uniqueId val="{00000001-EE74-4345-BFB5-BA4D3C3C4E76}"/>
                </c:ext>
              </c:extLst>
            </c:dLbl>
            <c:dLbl>
              <c:idx val="1"/>
              <c:layout>
                <c:manualLayout>
                  <c:x val="-0.17021263332774891"/>
                  <c:y val="0.2375814975197298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041797900262468"/>
                      <c:h val="0.34086561327485071"/>
                    </c:manualLayout>
                  </c15:layout>
                </c:ext>
                <c:ext xmlns:c16="http://schemas.microsoft.com/office/drawing/2014/chart" uri="{C3380CC4-5D6E-409C-BE32-E72D297353CC}">
                  <c16:uniqueId val="{00000003-EE74-4345-BFB5-BA4D3C3C4E76}"/>
                </c:ext>
              </c:extLst>
            </c:dLbl>
            <c:dLbl>
              <c:idx val="2"/>
              <c:layout>
                <c:manualLayout>
                  <c:x val="-0.25003314111486713"/>
                  <c:y val="-0.12715675916555319"/>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2281931464174454"/>
                      <c:h val="0.33855969275027065"/>
                    </c:manualLayout>
                  </c15:layout>
                </c:ext>
                <c:ext xmlns:c16="http://schemas.microsoft.com/office/drawing/2014/chart" uri="{C3380CC4-5D6E-409C-BE32-E72D297353CC}">
                  <c16:uniqueId val="{00000005-EE74-4345-BFB5-BA4D3C3C4E76}"/>
                </c:ext>
              </c:extLst>
            </c:dLbl>
            <c:dLbl>
              <c:idx val="3"/>
              <c:layout>
                <c:manualLayout>
                  <c:x val="0.36483513430502035"/>
                  <c:y val="-3.4898617289447265E-2"/>
                </c:manualLayout>
              </c:layout>
              <c:numFmt formatCode="0.00%" sourceLinked="0"/>
              <c:spPr>
                <a:noFill/>
                <a:ln w="9525" cmpd="sng">
                  <a:noFill/>
                  <a:prstDash val="solid"/>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33943372703412072"/>
                      <c:h val="0.36053920273388645"/>
                    </c:manualLayout>
                  </c15:layout>
                </c:ext>
                <c:ext xmlns:c16="http://schemas.microsoft.com/office/drawing/2014/chart" uri="{C3380CC4-5D6E-409C-BE32-E72D297353CC}">
                  <c16:uniqueId val="{00000007-EE74-4345-BFB5-BA4D3C3C4E76}"/>
                </c:ext>
              </c:extLst>
            </c:dLbl>
            <c:spPr>
              <a:noFill/>
              <a:ln cmpd="sng">
                <a:noFill/>
                <a:round/>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Sheet7!$M$4:$M$8</c:f>
              <c:strCache>
                <c:ptCount val="4"/>
                <c:pt idx="0">
                  <c:v>Female</c:v>
                </c:pt>
                <c:pt idx="1">
                  <c:v>Male</c:v>
                </c:pt>
                <c:pt idx="2">
                  <c:v>Other</c:v>
                </c:pt>
                <c:pt idx="3">
                  <c:v>Unknown</c:v>
                </c:pt>
              </c:strCache>
            </c:strRef>
          </c:cat>
          <c:val>
            <c:numRef>
              <c:f>Sheet7!$N$4:$N$8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E74-4345-BFB5-BA4D3C3C4E76}"/>
            </c:ext>
          </c:extLst>
        </c:ser>
        <c:dLbls>
          <c:showLegendKey val="0"/>
          <c:showVal val="0"/>
          <c:showCatName val="0"/>
          <c:showSerName val="0"/>
          <c:showPercent val="0"/>
          <c:showBubbleSize val="0"/>
          <c:showLeaderLines val="1"/>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[ecommerce_dashboard.xlsx]Sheet9!pvtDaysOfDeliver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How long we take to ship the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solidFill>
                <a:schemeClr val="bg1"/>
              </a:solidFill>
            </a:ln>
            <a:effectLst/>
          </c:spPr>
          <c:invertIfNegative val="0"/>
          <c:cat>
            <c:strRef>
              <c:f>Sheet9!$A$4:$A$19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Sheet9!$B$4:$B$19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6EED-487E-A623-F6A344CDE588}"/>
            </c:ext>
          </c:extLst>
        </c:ser>
        <c:dLbls>
          <c:showLegendKey val="0"/>
          <c:showVal val="0"/>
          <c:showCatName val="0"/>
          <c:showSerName val="0"/>
          <c:showPercent val="0"/>
          <c:showBubbleSize val="0"/>
        </c:dLbls>
        <c:gapWidth val="0"/>
        <c:overlap val="-27"/>
        <c:axId val="345945247"/>
        <c:axId val="345945727"/>
      </c:barChart>
      <c:catAx>
        <c:axId val="34594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45727"/>
        <c:crosses val="autoZero"/>
        <c:auto val="1"/>
        <c:lblAlgn val="ctr"/>
        <c:lblOffset val="100"/>
        <c:noMultiLvlLbl val="0"/>
      </c:catAx>
      <c:valAx>
        <c:axId val="34594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4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[ecommerce_dashboard.xlsx]Sheet10!pvtRating</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How happy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1</c:v>
                </c:pt>
              </c:strCache>
            </c:strRef>
          </c:tx>
          <c:spPr>
            <a:solidFill>
              <a:schemeClr val="accent1"/>
            </a:solidFill>
            <a:ln>
              <a:noFill/>
            </a:ln>
            <a:effectLst/>
          </c:spPr>
          <c:invertIfNegative val="0"/>
          <c:cat>
            <c:strRef>
              <c:f>Sheet10!$A$5:$A$8</c:f>
              <c:strCache>
                <c:ptCount val="3"/>
                <c:pt idx="0">
                  <c:v>Jan</c:v>
                </c:pt>
                <c:pt idx="1">
                  <c:v>Feb</c:v>
                </c:pt>
                <c:pt idx="2">
                  <c:v>Mar</c:v>
                </c:pt>
              </c:strCache>
            </c:strRef>
          </c:cat>
          <c:val>
            <c:numRef>
              <c:f>Sheet10!$B$5:$B$8</c:f>
              <c:numCache>
                <c:formatCode>General</c:formatCode>
                <c:ptCount val="3"/>
                <c:pt idx="0">
                  <c:v>7</c:v>
                </c:pt>
                <c:pt idx="1">
                  <c:v>8</c:v>
                </c:pt>
                <c:pt idx="2">
                  <c:v>6</c:v>
                </c:pt>
              </c:numCache>
            </c:numRef>
          </c:val>
          <c:extLst>
            <c:ext xmlns:c16="http://schemas.microsoft.com/office/drawing/2014/chart" uri="{C3380CC4-5D6E-409C-BE32-E72D297353CC}">
              <c16:uniqueId val="{00000000-06DD-403F-A433-D243DC26D7AF}"/>
            </c:ext>
          </c:extLst>
        </c:ser>
        <c:ser>
          <c:idx val="1"/>
          <c:order val="1"/>
          <c:tx>
            <c:strRef>
              <c:f>Sheet10!$C$3:$C$4</c:f>
              <c:strCache>
                <c:ptCount val="1"/>
                <c:pt idx="0">
                  <c:v>2</c:v>
                </c:pt>
              </c:strCache>
            </c:strRef>
          </c:tx>
          <c:spPr>
            <a:solidFill>
              <a:schemeClr val="accent2"/>
            </a:solidFill>
            <a:ln>
              <a:noFill/>
            </a:ln>
            <a:effectLst/>
          </c:spPr>
          <c:invertIfNegative val="0"/>
          <c:cat>
            <c:strRef>
              <c:f>Sheet10!$A$5:$A$8</c:f>
              <c:strCache>
                <c:ptCount val="3"/>
                <c:pt idx="0">
                  <c:v>Jan</c:v>
                </c:pt>
                <c:pt idx="1">
                  <c:v>Feb</c:v>
                </c:pt>
                <c:pt idx="2">
                  <c:v>Mar</c:v>
                </c:pt>
              </c:strCache>
            </c:strRef>
          </c:cat>
          <c:val>
            <c:numRef>
              <c:f>Sheet10!$C$5:$C$8</c:f>
              <c:numCache>
                <c:formatCode>General</c:formatCode>
                <c:ptCount val="3"/>
                <c:pt idx="0">
                  <c:v>37</c:v>
                </c:pt>
                <c:pt idx="1">
                  <c:v>51</c:v>
                </c:pt>
                <c:pt idx="2">
                  <c:v>39</c:v>
                </c:pt>
              </c:numCache>
            </c:numRef>
          </c:val>
          <c:extLst>
            <c:ext xmlns:c16="http://schemas.microsoft.com/office/drawing/2014/chart" uri="{C3380CC4-5D6E-409C-BE32-E72D297353CC}">
              <c16:uniqueId val="{00000001-06DD-403F-A433-D243DC26D7AF}"/>
            </c:ext>
          </c:extLst>
        </c:ser>
        <c:ser>
          <c:idx val="2"/>
          <c:order val="2"/>
          <c:tx>
            <c:strRef>
              <c:f>Sheet10!$D$3:$D$4</c:f>
              <c:strCache>
                <c:ptCount val="1"/>
                <c:pt idx="0">
                  <c:v>3</c:v>
                </c:pt>
              </c:strCache>
            </c:strRef>
          </c:tx>
          <c:spPr>
            <a:solidFill>
              <a:schemeClr val="accent3"/>
            </a:solidFill>
            <a:ln>
              <a:noFill/>
            </a:ln>
            <a:effectLst/>
          </c:spPr>
          <c:invertIfNegative val="0"/>
          <c:cat>
            <c:strRef>
              <c:f>Sheet10!$A$5:$A$8</c:f>
              <c:strCache>
                <c:ptCount val="3"/>
                <c:pt idx="0">
                  <c:v>Jan</c:v>
                </c:pt>
                <c:pt idx="1">
                  <c:v>Feb</c:v>
                </c:pt>
                <c:pt idx="2">
                  <c:v>Mar</c:v>
                </c:pt>
              </c:strCache>
            </c:strRef>
          </c:cat>
          <c:val>
            <c:numRef>
              <c:f>Sheet10!$D$5:$D$8</c:f>
              <c:numCache>
                <c:formatCode>General</c:formatCode>
                <c:ptCount val="3"/>
                <c:pt idx="0">
                  <c:v>150</c:v>
                </c:pt>
                <c:pt idx="1">
                  <c:v>182</c:v>
                </c:pt>
                <c:pt idx="2">
                  <c:v>163</c:v>
                </c:pt>
              </c:numCache>
            </c:numRef>
          </c:val>
          <c:extLst>
            <c:ext xmlns:c16="http://schemas.microsoft.com/office/drawing/2014/chart" uri="{C3380CC4-5D6E-409C-BE32-E72D297353CC}">
              <c16:uniqueId val="{00000002-06DD-403F-A433-D243DC26D7AF}"/>
            </c:ext>
          </c:extLst>
        </c:ser>
        <c:ser>
          <c:idx val="3"/>
          <c:order val="3"/>
          <c:tx>
            <c:strRef>
              <c:f>Sheet10!$E$3:$E$4</c:f>
              <c:strCache>
                <c:ptCount val="1"/>
                <c:pt idx="0">
                  <c:v>4</c:v>
                </c:pt>
              </c:strCache>
            </c:strRef>
          </c:tx>
          <c:spPr>
            <a:solidFill>
              <a:schemeClr val="accent4"/>
            </a:solidFill>
            <a:ln>
              <a:noFill/>
            </a:ln>
            <a:effectLst/>
          </c:spPr>
          <c:invertIfNegative val="0"/>
          <c:cat>
            <c:strRef>
              <c:f>Sheet10!$A$5:$A$8</c:f>
              <c:strCache>
                <c:ptCount val="3"/>
                <c:pt idx="0">
                  <c:v>Jan</c:v>
                </c:pt>
                <c:pt idx="1">
                  <c:v>Feb</c:v>
                </c:pt>
                <c:pt idx="2">
                  <c:v>Mar</c:v>
                </c:pt>
              </c:strCache>
            </c:strRef>
          </c:cat>
          <c:val>
            <c:numRef>
              <c:f>Sheet10!$E$5:$E$8</c:f>
              <c:numCache>
                <c:formatCode>General</c:formatCode>
                <c:ptCount val="3"/>
                <c:pt idx="0">
                  <c:v>312</c:v>
                </c:pt>
                <c:pt idx="1">
                  <c:v>373</c:v>
                </c:pt>
                <c:pt idx="2">
                  <c:v>351</c:v>
                </c:pt>
              </c:numCache>
            </c:numRef>
          </c:val>
          <c:extLst>
            <c:ext xmlns:c16="http://schemas.microsoft.com/office/drawing/2014/chart" uri="{C3380CC4-5D6E-409C-BE32-E72D297353CC}">
              <c16:uniqueId val="{00000003-06DD-403F-A433-D243DC26D7AF}"/>
            </c:ext>
          </c:extLst>
        </c:ser>
        <c:ser>
          <c:idx val="4"/>
          <c:order val="4"/>
          <c:tx>
            <c:strRef>
              <c:f>Sheet10!$F$3:$F$4</c:f>
              <c:strCache>
                <c:ptCount val="1"/>
                <c:pt idx="0">
                  <c:v>5</c:v>
                </c:pt>
              </c:strCache>
            </c:strRef>
          </c:tx>
          <c:spPr>
            <a:solidFill>
              <a:schemeClr val="accent5"/>
            </a:solidFill>
            <a:ln>
              <a:noFill/>
            </a:ln>
            <a:effectLst/>
          </c:spPr>
          <c:invertIfNegative val="0"/>
          <c:cat>
            <c:strRef>
              <c:f>Sheet10!$A$5:$A$8</c:f>
              <c:strCache>
                <c:ptCount val="3"/>
                <c:pt idx="0">
                  <c:v>Jan</c:v>
                </c:pt>
                <c:pt idx="1">
                  <c:v>Feb</c:v>
                </c:pt>
                <c:pt idx="2">
                  <c:v>Mar</c:v>
                </c:pt>
              </c:strCache>
            </c:strRef>
          </c:cat>
          <c:val>
            <c:numRef>
              <c:f>Sheet10!$F$5:$F$8</c:f>
              <c:numCache>
                <c:formatCode>General</c:formatCode>
                <c:ptCount val="3"/>
                <c:pt idx="0">
                  <c:v>224</c:v>
                </c:pt>
                <c:pt idx="1">
                  <c:v>247</c:v>
                </c:pt>
                <c:pt idx="2">
                  <c:v>250</c:v>
                </c:pt>
              </c:numCache>
            </c:numRef>
          </c:val>
          <c:extLst>
            <c:ext xmlns:c16="http://schemas.microsoft.com/office/drawing/2014/chart" uri="{C3380CC4-5D6E-409C-BE32-E72D297353CC}">
              <c16:uniqueId val="{00000004-06DD-403F-A433-D243DC26D7AF}"/>
            </c:ext>
          </c:extLst>
        </c:ser>
        <c:dLbls>
          <c:showLegendKey val="0"/>
          <c:showVal val="0"/>
          <c:showCatName val="0"/>
          <c:showSerName val="0"/>
          <c:showPercent val="0"/>
          <c:showBubbleSize val="0"/>
        </c:dLbls>
        <c:gapWidth val="72"/>
        <c:overlap val="-27"/>
        <c:axId val="445585647"/>
        <c:axId val="445584687"/>
      </c:barChart>
      <c:catAx>
        <c:axId val="44558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84687"/>
        <c:crosses val="autoZero"/>
        <c:auto val="1"/>
        <c:lblAlgn val="ctr"/>
        <c:lblOffset val="100"/>
        <c:noMultiLvlLbl val="0"/>
      </c:catAx>
      <c:valAx>
        <c:axId val="44558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58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Aptos Narrow" panose="02110004020202020204"/>
            </a:rPr>
            <a:t>Where do our customers live?</a:t>
          </a:r>
        </a:p>
      </cx:txPr>
    </cx:title>
    <cx:plotArea>
      <cx:plotAreaRegion>
        <cx:series layoutId="regionMap" uniqueId="{00000000-E873-4704-BCAE-6A8B9FDB820D}">
          <cx:tx>
            <cx:txData>
              <cx:f>_xlchart.v5.6</cx:f>
              <cx:v>Qty</cx:v>
            </cx:txData>
          </cx:tx>
          <cx:dataId val="0"/>
          <cx:layoutPr>
            <cx:geography cultureLanguage="en-US" cultureRegion="IN" attribution="Powered by Bing">
              <cx:geoCache provider="{E9337A44-BEBE-4D9F-B70C-5C5E7DAFC167}">
                <cx:binary>5H1Zc9vIsuZfcfh5oK4FtZ24fSIOAJLaJVteWn5B0JKMfS3sv/4mJNlHBCkfaKYZM5cj9xIWmYVE
fZVZuVXWf911/7iLH9bluy6JU/2Pu+7P935V5f/44w995z8ka32UBHdlprMf1dFdlvyR/fgR3D38
cV+u2yD1/iAIm3/c+euyeuje//O/YDTvITvP7tZVkKUf6oey//ig67jSv/ls50fv1vdJkDqBrsrg
rsJ/vrfXcfAjK9Ng/X7zM/Lne+chfneZAQ/v7KxOq/79u4e0Cqr+U58//Pl+YyTy/t0f0wduMfcu
Bv6r+h6ITXwkmCkEwVI9/oj37+Is9Z4/NjAxjwgyqeAEhn567OU6Aco3MfXI0vr+vnzQGl7v8f+7
hth4F5iUf82ZjLtxUkYkPADlz/ef06B6uH93U62rB/3+XaCzx1krezsb3/jzzeMU/bGJ5T//a/IL
mLTJb17APZ3h//TRJqL/AW07g7dZA9S6Gv/7NwNO5REasaZUPAEup4CTI0xNyQSGT14C/la+dmO+
c5QZsO+kOzDk/xWDZN3vA3RxJJEpieT0FSknR0QQE6R8E/M3cLQb7ukAM5CekhwayMn6Piv3ItgU
AEREmlOJRkeg4ImiSKHxB08wns3QKxBv0s9BeJPiwAC26mofOzVVRwwTaiJmvqK48RFjJseYTACe
zdBufDfJZ8C7SXBg6F5kabYX4SWMCcmfrTA1NcOwOiJESiWQ2pTeufzsxnaDega0G98/MGT/FedB
ugcTGywurijj+DXBBWwF/AD+oLlfWlzzOdqN7oR+Br4TigND2M7iWu/DvALhRIpQgPhxg0VgRW06
UeQIIUm5MtkmwvM52o3whH4GwhOKA0P44qG8A9/P/tu9JnFEEVf8l4Le8prQkSmxEliYu2ys+Xzt
xnlCPwPnCcWB4QzRknXzUK71HqCWR1hxgokQrwgzOuJyFHeTT4T5LUztxnn7vWZAvU10YGgv4ndO
VoLbtBe0BVGckWfHWIF5tam6wXlSCkNAhO8S7Dexthvz7SFmYL5NdGCY32bxfuDmQpgKvKgpzhAI
FabAmE+8p7mM7AZ3g3oGrhvfPzBIlxD93YvzxI8ExZwxjJ8846kMjwa2ZPAHT8yv+RztRndCPwPf
CcWBIbyKH9J0D0oaQh8EMawI7Lib2hmC1UpiQdkkcDmbk93AbpLPwHWT4MBgvVmn706zdVEH+wBX
HCkGOShikid7i04xxkdEEROiXk/e1UQ/v5G53XjvGmQG6rvIDgz74zr5nsX31d8v1SZYVpJj09yW
avMItmGKIGHxpNA37ey3sLQb7q0RZmC9RXNgQJ8k+UMZrOO/H2hKwIQmkpkU75ZwzI4YbN8MQ/pi
/JlI+Fs424331ggz8N6iOTC8b+vv+wmFYRMDlBCpfvzZCoVBlkIKLk0Oev5lsHMuP7sR3qCege7G
9w8M2ZO034frxCGHTMAOA/fpp1besMXwGDhRnEs5KRyYy89uZDeoZyC78f0DQ/Zyne9DZiUYWJD9
h8Thk8xuWWBQHSBHn1lOrOy5/OxGdoN6BrIb3z8wZM8eyn3Y1uyIiseU8dPGOu6smzKrHquBMCWQ
cHypjefysxvZDeoZyG58/9CQhTrCfYSp+RGABlJrslfUsTri8BkI9RTauQy9gu0G+RxwNwgODN1P
D/462YNOBucIrGGOGHklpkVAJ1MTQ73Hk9s8sZnn87Ub5Qn9DJgnFAeG8/k62kdpAKhf8IqgqIO+
Yi2TI4UZ5mAxb+rnufzsRneDega2G98/OGS1ftjD3gsSDI6QKdVzWAttWVWQR4SPTcknCvp8PZej
19DdoJ+F7wbFgSEMUTqopLbW5ff1Y111/feW0FPzCEKXgKJ6RVVD+oErCcoaCkAefzZF+c3s7UZ9
9zAzwN9NeGBr4DzT7/6Veg/xwz5sMfMINmpC5U9bbFodAq4xMSmU54KqH38mm/UbmduN/65BZqC/
i+zAsL9Y30OpyB7imvwICkUg9SSey76m3hVBR4jDWQoTT4s2Z3O0G+vJG82AeUJxaAg/pPfZXbCX
5LI6wmPAS4jn4MgWyBSK/wSndKzZfelCX7yFqVdw3hpiDtRbRIeG9rrcVyJSmJCKRM+1QFMtDi4X
o3jc6CcBzou5DL2C8gb5HIQ3CA4MXTBH3p3XgX539T3Q+T4C2QyimYRjsLyfnK4tiQbDHOJlcJBi
orb/N1jbjfhrA83A/jXSA1sFo0jl2V6KtQVU6pqwZ8tnx2wKP5jriptCEnDLd5jrb+FsN/pbI8yA
fYvm0PDOYAP/+000ON5sKqQgDPrsem0VEKEjKD2Bkxl4ko68mMvQKxhvkM8BeIPgfwC6v2dx443H
A8//+mkc7Ti0/sYz61QcAWKcg7+9W4GPDjcWREAmepcEvzxq/2Sw7eJpN64vaTfe8ekVfz8p/+OO
osNxr+qhfOj/fsGk/IgLKMWl6LlOYCs6ho8441AlMD2S/BaedmO4NcIOIDd+BS0YtmgODGnolpAG
Ol7X+wiPCAh0IqjR5K9FuTEcjxoDJGJiWL+Nq91o7xhjA9zdXSZ2UB0Y4pcPzXovvQbgMBwnQlL0
HBXZIdkIjG/Ycyc5jfkc7UZ6Qj8D5QnFgSF8Va4h4rkH3U2hng9OxEj+ykl0DO0mGHQb4NNA53yO
diM8oZ+B8ITiwBC+jtd3D/vpJQFHzUeMny2sXTIsxnpO8mRgTRzl+XztxnlCPwPnCcXB4VxDq6o9
SDK4upQLOP32bChDCHOjPggi2BAmAf+JTk7OXMdzOXoN4Q36WQhvUBwYwh8DOM6qg/v9qGslEaP0
uQZsuwgMDjfDYVcoFJqI8ZuY2o3z9hAzoN4mOjC0b9Z3JbR6Sqt9hDflERPQcAKim0+6eUumx5jI
+AcKA8cfiH+9TFu8jbfdqO8YYwbsO6gODvf0nfUA/en2gTvUZzMytgh6pSCQAO6IIDhxM7G7x5Dy
fK5eQ3xrjFmIb1EdJOJlui7v95OehKNS0FkES/rsW08tNbDFCZRugzU3FfNx6t/C2O+A3xpnNvhb
lAe4AJzgwduHxMO5Kgz5SjhbNTHbAHTMqYRV8awLtrGfzdPrsG8OMRPxTaIDBHsJXvddoO+yn3O+
I7gMxyje1KUVIt4CkpUCjtb88rc27XQy1qBhJukOMf/F0RwH4nW4t4eZCfk24QHCfgHdZvch44/Z
SiHAAXvFmoM6cCKhRMXcsuPSd7OZeh31zSFmIr5JdGBof4LqE2i+PEeY3ibl44FoONMBGv05Wbll
uUM1OJzCgjrSCdZvYGk30tMBZuA8JTkwlMEoHtsvx/spGQaPG6pBoer/WZ9PN3Cw1UHXYwiST+Iu
b2RrN9q7BpmB+C6yw0S9rIe/X7wh5akEnNhBP2sRtkCHLoHQ4xNB4Pyn7fDUav154mdy9VvMX44x
H/KXVIeGuL/Wo6D/3R0DQZlDP08wwulrB+HJEVjoSEIp2gTt2Ry9gvQm/RyUNykODOFPNSjxfcRV
4QQmRePxu9fLUIga1TgDp/xliG0+R7sRntDPQHhCcWAI3wQP5V4K/KHvFEcU2tA8RUp3HeGCD+Hs
j9zdmmg2X7txnrzXDJwnFAeHs46CPqv3oK2h+x8F95n8vCAB3Oipg82hgIXBeY5NWb4J5vP0GsqT
EWbhPKE5NKSzeL2X0xxwEItBWnssPPuZ/JjijEwF4rwVJJ/N0Ssob9LPwXiT4uAQTrN9HJyHbusm
VRz6mbxWWPgYNeUmFIFPJBk6+8/j6DWEN+hnIbxBcWgIj/dg7KM4BU5kUUKgQ/Nz0cKWHwWlo6OU
bxWY3czm6BWEN+nnILxJcWAIf6qhoX6ylzsToCmkhLwVYPiKnkbgPRGMJZnsx2/haTfKWyPMwHmL
5sCQ/gLuS70XExuulwMDmqLXriODWn64uQgjjkDMXzpRb2BpN87TAWbAPCX5v4Hy67fS/brnz1lX
68XjDYEvLqb7/aePUwR3G05In2d8dwrrCY2T+z/fw9FYCscmAaFfaa1xoA28IIj18lzfTzA3yR8g
GPPnewMaOR+ZAnT42D1DKmnCVt0+PH0EodGxtgXsN4UoJaNPlsLdiP6f7ymDulSggaJFCmuKKaDS
Wf34kXkEBY3jgT+MFNyCBhnTn298ncW9l6W/puf57+/SOrnOgrTScEni+3f507dGbhn0QVMYukmr
sWMtxtCiBz6/W38c+xzBXPyvEkowNJTVeVde7FmanAWmb72Yml1PGCP6L54hobJWgoIDl0MiLCCT
C3P78hkJzpDK47679CJxkvq1WnaEhOVSJN1FRzveOiLt9Wrom3DBjbwMLVxJdkOqPMgcWSl+IUqh
9EnqucVFXRqysJOa8uKCcwN1C1PXveegHIthoVu0yPIW5ceRnySL0jDRquuKYVVmHlm00Kp1Vfpm
sdBZG64oz5GVNvw6FKm3yqMEOXXmlavA8GKy8MosNFZp0g7ZTVoO/o8krJolxYE7hLbUyFiouDdJ
aKsY/rbAuZnghW8miN5UaR6Fdl50xYeqAy6CYlgOBmaW0fl/0Ryf+Z1fWig2CitS0QltilUj+Hlb
c2yJyris/eYLi+inQumbMhrOvbT5wlmSWpIXmRUF5nlRmgvPLM59PzzBnhed4LIOHK/jZy2OLYkS
aTVetkJBhyzkBtaQ9aclQ7d5GPZ2HAtuoay4KgMeHqvUP6879N3nUX/m51TYpmsOlozxgx9nsdMr
tegzHlqVCojlmTRZVl3HVil1h7Oiz88a11h1SXRcGYG3SmJWOgEdbG/IF0UbXCQtowuXmoXl+flq
GMoTtww++qyIV2HKUsczopNyyFzL0/gk1V25KP3kBqTkzKddaxk94nd9E2m7L73WRoQvuxyWaoeD
hWlWnmXI1Eka96TLi4vWTAMLhz5MayVtJmUTWl7IbpjZZxbtzPpYpymzUlcRJ3HNykZ9dVHwxrA9
VZ40Udevshg9mLy+xwmTqzLmyRlViRFbfsSCD3kqEwd3ZsBsHCUWFtg4VVGIV1qiu8jwTwZuXFZY
fK58YxX7LrdkXy7cSNo1xedDIj80abpUIXHC0l1obNgJb6PjNiYr2VbEKShMPEvFsUbNVzxUmZUz
z4E7Hb4NvLnIUEWtoOxOWYyuBxi0welFIn1rMPGqzo010fjBMLqTzBzOqWscK/Glc79lcjgVySCX
LPQWpWCfiwFbftN9b+oIrj+T1ZmZROeM9NeeG2KbkohbbqRuY4/cjt6JU7b4XJmpZ7fmVeEf94np
2/5QU4sNxVL4xifZ6c9m1Cw6L+oc5nvXZpMTCwV9byVNcFZl0QkTKLaGBn/JDf+TlMlnI8+sIW2X
wst/ENGdFso47To0WDrkp0WoVjGPa0sK7dAM1ydmbVYfzTY8hfc7YyH6RmsjtHoaB5bKSn9JaB5e
JmYXHXdGQm6zVoq/tMyC0u763v2cVG70sXOFtrouxguzdEvLCCrfKYwocsK48my/6murIAZyWhCL
8yZnwWVtDkZvxWXjarvO+ShhUMSSWYWqmoUsXPl94NJzfMa/GJrwRaP5pevn7sKN88aqTKVhMdPI
avo6Puul4dkeYR8rhEqLFm3heE0uLYzDsybrb5I8aq2wzXKrybW3jJT5F+c3ISDvFLUxOKLT6amk
Mb9wcx8me8gDK+LZd9MLQ4sXvQ8ipwAj9gl5eQTz2Ecrr/fOwwQPVh+5H6Iq+153yg7d0JEhKSzX
QDcuB5Rp/k3X0WLIwuMmrH6Isr2K2RAuPdePLNrGtySslz4X37LesGqpiWXiIrHcNsytSqfSCkV/
rl3m9H1gh7FYhAW5T3jVrfKCOWHa3DbUXTGzyq0hqL/pylzmJcActUviiq841V9YnX5lOEss1YU3
Xdyfp6o9rgoMAt6GXz2/PwlaENGuu2jcZOUlbgr6k3+squGKaX7b+ewyC01bms3Xdiht3GangRia
ZWMqUBaotAGNRcqjb0MRaEuFfGWGjFldXARWJYMTT3f+wqdpZoeM3+ABUNMxjiwvFZ+KJjitKK9s
HaBb2AnOCjeLYP2k10EwVMdZ6H1lfSEsispjltAFqBvHqLsLmsLbJ744l7U4LiPvFFfsVuWN4w6Z
ncvoijJ5HCWmpbWbWAmJ1oY0HNYGx3U8tFZRu2tURacw104wdKmliDo16/6DzhGwaerTEBnHJePf
XJSfNH1smVVz45rCkZINS92pzEoC/xqZ3Q8Xtczqh/QbMkNqkSG4UCxeFW7xKUmrwYnS7LjxmuJY
qqQ/x5g6ISHndRl84252hkoaWoRk1TJNELYy02yvoQTbt2Tp0UUky79S5HtLA8krpNrMatOiONNY
eHbld8mScX4XxEbiFMgz/mpzDutlwPGiR7lrUTOI77sqEA6hic+dticXra/dH783QiDVPDFBFIRS
4DAXZRQuWRgjny9NEBwxnCSpa1yG4WcefYnUd5Ot/s8eMVpaLyypHlYxj2p4BCp6i4urOr/qwuvf
PwPSaTteA1opgm1IOdTBbz6DkLpPWhV4V6iFXV5cDdV5130yDOf3j4EI8dZj4CZtuMYAjqyaAkHx
xstX8bKwpyJqvKs6GRZF6INhCHJYfK7N67bBFtel1bPTx2c+m/jXLy3Tuyzvy8Dzn68a//XXf37K
Evjn8bLqf/9yvKn8339bPWRjIllPvzQ+59e3/n3h9Wi6/7r9euIQPF13/tN2fsuHr7sSL10BBmVO
L+Z9y4t4ef763/7HE9Uv5wFqYsdeXAjuLGdw7QsM+Mt5gF5t47lEOI8q4fz4WDP17DyYkHwHQxvM
7fHQOFyHDgb3T+dh7PsCA0IJnoR0Lhj/b3Ee8KZlD96Dgp6d0NKRQwyawrUXo9i9WPPVQLO8qOvu
Mm2pWjQtbH5WRkMR2ZFomw/cYP1p2DVptEAoqm6rzGw+R6buCkurtPj6YvaeF9BLV2ZsBvti2T5y
A9XB0EkWLq6DG6If/ZAX3Jhpn0fKr5tLUqQYnI0hda1aZNy3u6bKlNW0Zn0rmtwIrDKRVWEXIWhl
yx20gJ1DifReVRW6gjH82iFxjD8PzJB41XPmPuDewN3y9xyTLe8LunPA2XFwDeHeELgjAm3OnxkI
H7Dtq0vaMc9zeDfEn2HHknRZiT5jYDh0OHQC4UprELwPYB9HdJU0ZY+dssmqe7/TGtuBkTNHV0EG
Rkfio8YSJYu8Bcixfx3V6jTRytcOBJnVF+0XZ1Hcsm4RaINfBKXfJP9BEW7DAMfpEFyTAFdwg6Z9
fOkXMIje8Fojj/VlWrnqS+ZJDPZCRGBp5GndXbddqW5yF8d//X4yN1U8Q9CQDu55F6DlYS3Cf0a2
XjyWoc4zwXBKL1M54Esc+fVlqks7kK7/5fdPGv3Vlz7z+CQFxw/ACYfWO+DRbj4pT81+KEo/u5Q5
MtdFm5Xxyq1kT6wo9xeogN3bpqiXsElT1ib/adGMi2Lz8bBQoHu9Cbf2wdUi08dDPijwvTQJLkUR
sXUS1mwdxSMPbEj0gpdZZvUIoF+1cdESq4gy8VDF4D+3qjfPO05LZNM2zCIb/N7kMy1zQh1f9v1D
bjS5g4whETZTmQnWDOVD/R/iAeNFVVP+xag2oIUkbC7Qgn9z+hCvWcqYa1zg2k3WQVlpz8JGVKWm
Rfs+9U5bP4i+e1Ll591Q+EuemV1gE9yIH5UYwHTqfQ+c1CxsHoKSivuG5b542o1gk4DA0PXTbL7U
JSbbApmaFBbRWL4IFalMTLZaXsoAlX5FL0KzyF0lnUr5w6qrOqqWVVPXdtkV6EOT9Ky2fN8XdonT
lSZlvorNnNhRXCQf85glnSXi1vvahkl20uuqApeuyD9zHUnHLVLXrrMwDKygomFruaFOL9vc0FeF
MdCF52EVWsbgpolNGj85ZryKP5LQu/b6lHZWXIvisgIbriKJQR3ewC6Ng56AbjDrYbBQK8Pz2Gfy
1kW1eepzCU6o1zXgJSAIVMD1qn1wYsiyT6y2l4ODW2Y4Q9jd5bqobmpkCN9qk0osXV2AC+YS8qnw
cRutXGFgiCn4kfsd6gLLxgrSwvhWJyJx8lyTkyhL8xNcqPg+aHIOck+T6CZQbiespjC9U3C/aruH
eVhhk6irok0gitOWxRLjDjeLmAns2U3rQaCnIb67SDQtnTpXV75reMjBOKuOYashrZ2iEJzsSsR/
dQnyz0ip8htGK7aqVWiQpebJsJY8KxcadeGwbCIJdir4meArx+0P7eU5swdSodpKPdJ4y64KMxCO
tl30XlPLZZm5vhNXNDlO4asWqPMyg4lOGmGFOgwNW7itsETGugGs79i1aWWkyarkEYRn6h59aCk2
nUCX4P6GsJKqJa1apVcdFd05j4Yhdj/UbVElidUHcZ+W977rEzLc6tboROJbqgRVnt2RHqJPtAR/
va5zdFlFVRJ1pwoCS6tG1ZV7kpRBkFshibMbJAx6AhYcre0aMHCtvkCqA7gSKZ3UdWE/rOKoLRY8
aj1kl3GF3Su/QFxkx1EvWt/pu1hV51xXFFZU62ZYt3YNe+GSG37oXjUgOtyzC5lLWHA00skyjYNS
WXEBm5e76JqA24YLPW/A53BRatoZODiJ7au6dZdtLOJkoV2wCpYs9ZLBlgMDjZmSyKztxC8h2tLo
3tPXOjAghpd5gfxh1I0IkIMyUq0CU9bykhmu556mVFSChXba6WLoIW4C2s1f5J4vkoWrGwhQqFKn
wbKHSE5/jLROchtCHXFgi4718QpCc4FhA6zkq5EnA3bg6GmUOPAvMq5i8K80THmafg2TRCUntFRV
vIj8in8c6orSZWhkBKJ54LCI1BI+8auVWzZ5egObMT0NvYFEyzoHDhZZFXvDQuIOfHQZ9nkLkZse
lrYBolI6Lsb1aUkZix3PpV4NAdEG4AyEBvskHUI6PMQRBGMcCQwkDu0TvzjBKDCPvUBE3CZRVFAn
yALXGWo3gkBjW+bqOgQP3bRpUISDleThYJwhNzaXOHc9BuwqkS9w7w/ZiR/g1ltAyMFvrfF7FlaB
SmH5eLSwuzYwBqvqAuNbCde1QAggADkil3hIgyGwZGMa9FMft6S+5LnqMydVRXUBDj1sSZ4WERCo
hMJsuYGP01tw/VL/tOiTuFvqlg3BGa686pMZErZmnZu4lsSweJd12gm60HwIgPkah4kT0wLigLJ1
FwEOitu4bcGyCL2wudGMt99ziLUcN6L13IWMGCJWKl0Yh8VZ2C3TssGXQ5dT84OuGP6EKwO+0XJD
S7vCvegWDUnC4LiE0HR7kgpPk6vAEOpLiopxcYZhoVci1r6+7noToouoaAEbv02BsUyD0j2DHUx9
gWg+rO4EtGTpwCXLXXZSaeWS67Cso+gjkakyTzozbOuLqqtG49Pvu2sWGbxbZG0Cj86yYWisjiTV
sEKRGF9+ZL0F/QR85Qm+NFkKb1EXDKbKj7JosFXUgOhAWDQKPqSlAJEva7AKPPgMdCqpUv+qwGZf
phbNfQRwt2VXXySGn2srQHXRLTvobUQXfVOQUWmAMNnwRqBAOoVHO7lKky8u3Dt7KpsgkJb0WQTr
ovf4uk0psNGVYf+RVh3SZx6YueFZlqdReCNht1jpFOHLQnnFLRzp5IXlm35ATjPpqfrM9TOvcfpS
FC0YuD1d5QSm1Uai6O+iOGLXXa1RdlwgiAB/bXni6ePENZIf/aBGHRIUse+AHyDpIiC9r5c5T9RX
A7nJMmlzr7CECWquL1v/Y5BV+kwlUcgcRkrigdoDD9hqfKK+lKHReIuYpCAmg+FSdWKmGS4eElDI
/Slc2Qiy0Y4aexEyA2a0a4ZmAZtMW5xB2J1w21Vx1cBOSxsEpncRfitVoz4ZPZjpp4OqSnwPUbJe
WwnGooFAFgQ8F12C/cE2W497JznA0tpGpPhyyJqmuuh6Ed+EjS7GCOixmXQNOx5aDuBECOthlcdR
ll2kvDPPjQqZ2cIv0qQ58/o2923JdOJ/AktE3yOVghoB1akbK/J1C5GvtpEF7AJ9cRN7BQ7+wtlA
ZWMNYIH1n/OKGgoG02658IUBISvDzdvvvoeMxo4FBDhOAoXwh04bLuRU6kIHi2CoYZEGpArpdRfF
A7tMeB7HVpE3iF+Y2Dc7uwfrRi9aPwfUWpkGnlUOIgHdoXW8wJADKp0mJrJcDbKA1R+ZnSec3u2R
tt1c8+Jry3r8KfRLWGuw06kvsNYTfZ2qFIOCJbkKlxKiR63V1bdE1q3EVhQ14jMjadE6LfMq88J0
Y9l8LFytStjcYUUvcshTFEtwHPruPKBVlJ2LMvfpNekgtHjidpmC9+o6w7uISiNvnUS7oDPAGqur
izh2gf9SRd5S+zLynbZD6KQvTJD7nnMRWKbri4tHx+PvjpFcBHdlprMf1TRI8jJG8s//xyMpv65n
+ndWdbzo+PWkrA0N3h7T+lAD/zIM85TQHWl/BlUg7crGFvZUYQhlwomzF0EVOHwIVx1AAAFu/xKQ
3fgVVIFiLIygVkdBd3QBcZexv9fPoAocaYQkKhxe5WNYTkCL7J9RpWdX43cZWfDlJg4SE6NTqWBM
DhzwMbLz0pNViRhU2rDmKm4CMH/tssjQadxh8zSFEH1ohzz53IcesURnnMsUvLeQJY3VhtzxUwNB
9jT81HnVWSS7mwZ1572LQyv3ubJAMkDFBQNYjtWXNukvRUJPWMAtGruQ1pD6Ku+6U57X3O6S4iQY
4tZKtAYb0FOWK1S3Kin9QaVX2a0uIAQfRL0NYkQWZQTJzEGayzoMpW3GYFEr7d/23IXoYWz2C1X1
iYPK/BNk12rLrA1iQ4zCpvmA7L6tLNMrGrtM3a+xwk5FeG+XWjssaL9zyFOFbpE4cOniXRGKwG54
8BeHXQrCrPyEdpBeKwJhgS32F/fMlRT5YLstXfqyNCyqk2PCG+Y0mTzWXZI4vdmUYMJ03/vM/Z5U
3RXKIGPIID4VIBXYiRmtoqg7keBkL3HXlhBpMTJLevm9h0zmdDj9K89YaFG/oY5bVw/cJcOljvp1
kDP3rGYBOIOMJJbv8YWRSvyRaFE6JrgSdjBuOhmE5ldtG51hVjS3UjUltWrIeC7BpbUHU0Bm0xXZ
Mu4psmPwLBbS95HlqSGzapLqix7JzokgCrSEDFfuuLHR2xWsZqvUkb8wAnB3ehS4ixTp4CxAWbyS
qq1uCGuGL+3Q+E6GwESIdIwuep6I5dBG0W1WNgRSJoL/1egk+ahLXFz7nAQnEpfdeaFc6kCKITuF
LbysLcM0w3O3TSHXZWQdZAqGmFhDgtzvnQwMCSrXKE5Sgj5EmYKsuN/mn1EPE79yIW73zQiV98OU
cb1IFAErDFJvkEaQdp9AVkqHeW01QwXrpgTbUJOLqh9g1ltIJ3vnOi1uwYxXtlHUl6WftseuW3VL
gZrOqmmmloL5jWV2+aVZkWpZJAiiHGW1KLA6A9fHs6IYstgpHUZ/WaXOYEbYybAMHJH0aJnV1M8X
JLgRNAXvNODRRQbnIs6i2mu+KHCgTjjUkVk+2BgryDwPtjbKHx2BZCvY104n++D/y7D4DmWOQX++
rsyfevxvq/GR6qcah8IaBDdVMLjsjykBHTZfqPGxFS6DulgIBUJ5JYePfhbWgK6G6J2U0KJRPgXA
f6lxuHsd2jrCKSYonX/sN/AWNQ63V03VuByLs6EhFYHdAmL0wMRLNW4g3GtSYe/KVclS9ODiV5ql
VtyXl7SKv+aRYeVdpZwh6E+F2ydQa+JdxFl9DIU6D6bRFHarmO3TVtuZiM/AHHGtQYUXqd9ADMQw
PqRBAAHfTIIdlcRfQHdFlhtAtYYZ/Dd7X9YbOY5l/YvUkEQt1ONoidW7086yXwTbaVMLJUoUKYr6
9XPk7KzO6vyqgQK+eRhMJQqJQobDDkdI996zXQ5vnsb1qKi+UhpUijc/Rbz78Jq2CDGopRBnnqOE
5w5Ilkfpa/fQl+2ZdaYEoRHOOV622GldXwlA8JR5/pPmcZ+PdbCkEwmm3DhRALKk/JjN9E54GKUr
1rUUVDRDhgHtXrTV7cL6l9U1j44dOZgTNmcirNeidcJTCGUg11GFdyCpbDrF4pWGzVsVy6sOWkgq
DX5FjXJWTIN343B0OM4uxbCeG1HP+wZWlnyq/ZuwaW7cjQqra46WRNWScRxUtI8C6O/zZN7KqZky
7mlI5RXlu7UKbc7d5ss825tarxU0W4WSQ3h8YbrkfurKvOu826k3ctfwoMudZD1XPDlVajkPonIz
8CPTJrQemTfAXSLiIYUHQKRCgx9x6onmSeWuDxM4sEMiQl1oFTcZw2R9Qulrdkm7fHNma09srrzM
7V2WT11D98RQB8QFuYhG7zgGdNhZXZa31ulFWo0q2VnmuilgT5IyB/xKr/vqVkTOXkhn79Qxmsf4
DEl13U+MdCkfqm7XsrgGIxfs4l6OIPBme4j6cqfYuBZx3Mcppug38JpdBsabpdwJuoL3y5IvXfnM
Y3OMmBwu63awOb6pzX1a75q6X3IXAKguPVXMfTSdfH+8a8u4ymN/XvJmCXFB6ji8cqeAHCSoq4zp
9U1Ll6TDpDGFOAHYsLZPMl2K+FA3/pyvll7GXZDkdIne5TCLQiYeZCXVg1LDpRwGzQK/RM13A7M0
85zovq/I8xzDaFV3E64hGvODmhaeTczcO7acjsDWb5AqepCYsOK0rKe5q2dcxkl8A1pqSceABwen
gyjf+K9uK/axs6jCX6ZLp3MGvM90TAODJlGNrzYJLD78eIzzfkqiW9euKjjBKOCFc4qLty6WjUgl
5p3b6uvCcM/7LSQArrWbgl/YWaLITWy6J3TNKS9p7aXlpOA5Ce3jwuAuiEojC7AsKTVJmwuhbNa2
4isV2oDKBxVSiz6FeUqmHiaLsxznESNbBRtM2H+Bg+paRgOcXMkEF1v/Uavx3icVmjA9z9S9XVVz
Xtdq77fdqXKqS7fpodVhjEwDrgPwh8GdK+A18fB9d+PinSlpTRaDZxIxrHNgxJ5Mwg6TCc6u435E
oIUx8mylKShE2dmTcOyL71qWjrA5pOOiTFrbOTrBIrGjC1tKjU6s1Nceg57YLdUQrFnlSHFPjJ4e
xbKYp6X04VyJ3GmWB1LT8Jm1IjypCWjvhsOgSI9qdILnkkV+edmEdbvvklblOim/AmZGRbj4uDRK
xosS18shEDAlmWblmcF1V4SYbVNchU8aRrC17fzUK6NDFa1lGoMiPZiawWMhylu6rtdLr1W2duua
Oay74RFrHzScvUU3YFqWLfyBmjUfTMa3MgJD4ZhwZ3EGxIHblmfxEN+RRH3r7Pw4hmLd4S7e01I+
romu0tFdb5KgPuvWhtkwuC/egjouenPdmO7Og4EvU6qcDiN3alxr5TVEPz+zqoXnhDULmGrjtcde
+DMKV/8Si7kqiK9lFkf1Rd02rz41qAbL6xL7ux4OPczl4b4MwPgzPrcpcP0XoIJ+FjlcexScY7/u
a13vnZlew+BU72bbfESkOq2dOpY9AdDgdeF1gZd6tAc/P48kjTtz361kyasS1U92Hdv1BHYma1UH
HroulFhWzNrdHqyIl3VGmBSz413dhEnOZXxRDuONmNw6G40Bz00diAv+VVB5GPSZswulnDJoso/w
ON2IbrxyorLPhBt9bej81pgI+tbCz2ZYRDov6lwO69dwpClMo9c2FFBMVHQaSsAP3Qw7sBbHYaLP
cNvWe+IKlkWO8FLdeRc9qUkW2jntLc8BDe/jpCWp5wfvGBDlzqwotgQuuaaDbtyBbcUXLjsZyRNo
QJbpGh6pWsbHJIpRnwmYh3lNW6e+B0PwMur46I/4N2UvZuE8tgQftUvHQmqhUG7mXeex9yZJDqER
R+Hg0XKgH2puvg2Td+786rs4+/+bQvjfRg5s23v/0zz5XxymkW+/8ALfn/ZjoNy2ysHLANM1ZoSA
xKAMfjdbIOEewzfhftq0MXD+PFAmiNlh6ySIgwA+DTz0L14AQyjBgZc4gwNLCn3/rwyU4AL/faCE
0xMWJhCO0CNwzua/8QIoomOiaaWvm1oNJ8qT4FL2y5n2fMxCLR8jgNuxUe2hx7y4vldiGp1bDRem
Hdc6g/bAb5Nq6FPV2lvFgpOYOrEb+QTPLLzXadx6zr7mc5AGQ7Vj7VwdoUy5mF1KWNTMxKosmcd+
18UD1/eWDU+Y3UTqRDHEBMgDcDz7U3CaF2c9hUO/gLmwGyDSvM3tBpEUsBJLAJrqDT5ZTwBIeW1y
5Bu4GjaY5W+Ai36HXvfDJxajGywbNoA2S5gz4w20iQ2+8Q3I+RHsfRLYrv0EeczLwg32hcB/dAOC
8wYJZ74uqbPBxGkDjNJMV94GIRWwpASmtMCWlYvxBljTDdjZbOBTbTC0Bk+aNkCmaFG66DewykpH
Ffhh7KM0Inq2azOXuzEcUWegnGe0mrxDIvVd1ZJ72ri9Pg6Yc9Vt7fXjIRyHrB+r6ICmP/X3kXIT
mVa6jOeUxGWwJ56BZTksw4+21Oa4BYj3uodFde36G9tMVxhsTz2vrkbXP1Pl7MRkTk4X5WIFD7kR
Ms2ahfXwzfT+Xa2Sp/8R/vF/W/FA3AMA9c/B6L+Wef4KSLdn/lQ/oGBQ+OWw+Ygk7s+AFEtwYKUL
fzyCZ/0ApBRx7c3D5UNaxPEtP/OKdDvRPPBw3ACWoaEi/aWkB47T/qV+xACkeHWhGwTwk22Wh58c
MqSZ+2kVi7leOHWzQNfDjsxVUwygnbp4UbvJaSeSLmEwP8GvcB42ngphpjgNxrrOSmiyebnxWWwj
tmgIz6rt4yxyawiLan0JNx4MavS7icapiBvIWwMv72HVji77mVepncm4G5Z5vIKvpWhY9agqUxgX
Am2d0FOn/FMgvQ/48B9N1Z3ioL0eucxjzz8kNQbdpIEiXndkAByEM3iF/ztf3GCCfR9zVRBG700c
PEDUe25n593M1ZhvwBoKpsXYJLpvY4f5tHVh0ndnjVG3t6lpTZ/OSfRqq6DNkzDyIHTMKp21qnNt
xWPViVs/YgVcBJidLIS2UcP+jZyIZpesPkYDuRun6BIU6vvKoeP3N5EHtYDI9qrfFJ2l+dphYCr9
8q3qwy9ziJnEbT4s7Ep5zf1bGDAsANPqFjObHoSj/NRqNWSaVxwYmwOnJGTMZQSPOFNhrmITHJA4
aDLCK1mgxMTId2Ca7moPhFTZJIWjoilHOgIpmACyk0P2Gn75u9Djfr7AI5A2NkDKpgbUD4VDLuXY
1nAxmDlrqTecVkfegaSEodgR7l4v0zF0vTqXRNW7QDfhQZeJbR975sTs0p/W7mszhQ70/24c8PbN
a7YQiDHzUpuiD+kH7GeHpZqvKyXbjHSTii9VCV30WUL+/dZxETt54vHkUAdeuYOf27uOEV3JJszL
sMzbfjcERlx2q18/UEMfpaqXA+xFz229dFk4Y+Qz0I9zZ9By51v6JenNkXThfpCl3nMozgfpeQ+O
Lr1cu4YUS7n2+xma6l0XdJAJJ7+/nvoEDmW8l2SaLxd0ti+4AuJsCGL4uEa+3ED7ngqIS8MXIJjX
CXzHOW79OYua6n3wqgXUrXWLGrDVoaJUqasXvPWhl8WJ0gepS3nwZcTvx2jk17OI+y+tb1U+eHWV
zcHwRVCVKxU56apXlbI6PCxRj4hG6YDyJ1qA6rHXRiVl5hC5ZB2o1SKsfXNWUECBPsropKz7spRD
NlbmkdpgyEjv2lQwAGgWJDb1l8A5Ok5intvGGDgLxjKvqer3yyDat5aE04HDjpKuIz21ploO4GFp
IVWyBrlcYdeOwkRunpbyomKEXtLZXk0b85xsHHS8sdHNxksvG0OtNq7aoWCtJ69103Zjsv/uR+4W
P9xO6/vzfvT9gIBfe9HnGX8v/4wW4rxWnEMDbz0WffzSizDeBvDoREH4Xcj60YuSfxA4NhFUhswV
eNju9a9ZFm0K+UBI9Eirf1fG/oLGhe71ay8Kt8gzqFh0Ihy/8MdeNFszByqIzbVa5jYLVPtVzPYO
WBbwMmHXnTc2b6D6enAI5AuYkyabiVPe09h8OJW7gxIXpCuBLwUmMZRATgHNgPtrWb5K1nrZwmOJ
Gt7fBQlnexewfm/m8hJEaZ9XQ/yqSX0fzevXqlOwz3DwMP4QZIuAy66NhxMZJnS3GD2HJP0O4sY9
flZulKfBTWqYDrT1MBjqJivX6FK1yQP44SrtW/atmeglAka3iF1cVzAsiNiDBD/bW79y3R0o6zlt
gvlm8WNRUOJHaewj59bxNish6a3rmJFRN0c38OvUDN7Bq2BnSBRqT1vjZtR2IAVpy33UcgmzdZcc
yiH4AmcS3MJJrgkp9DC56SjDGsyYPa4ePECwgNCUuetjmHzrRJlLf7mEGeqETvebdoEOhmZa0mBD
p9qWPI1mNNRwse8z7CKzF+9i4sRp4laPzOvYhtYzTjnYMQl6uF4PjR9fmzq+igNknIR8FE74qrU9
x6LdO+2aR4gVjgj4wZx061tQciyM7ijeobIG8egI4GzOr2SQ3EW1+9ouq4vQTuKl6DtrmsTmofOD
p4YmV/4Qm0zNPRJE2oOdYYnPXkO/gCLus2h1H+u54QiggOsi5cOwyKtBO2cm2wQqJAerXj0vs/Nl
IPpiqZY7ZEt3buT8hub4xpMmTEMQAZkcGDoqF7Twp/Ejtvbe1cD+Y5Bc4mO6ME2cj7LJy+DDG8IC
vhgwjHrdDbGYcj8A+V01h6ihInVZvF8bwCPZi2fSR0/ofTYDffASaIPryxvHtGOo8bCnX3gz/1bi
ikwk6fLAF3uPRycd2YOI1LfZQb/2K/IlnNie1SAJ13K88VwIp14L0hXIsUqlY5vcqTRIGEKH1E3a
x0bhTVp7ZOXCagrToPPvVDQUydAdrNvJpJiQVT2VzLArX4vHZXri45HgnnvqVA16ELRYBVdRCq7z
QSBjdmuNTI5lizlHxNOyD2aES11tAkiwXlNYXYUp3OgfYYNGdWE8OIduy6psbAHD4rg+zKGAShHO
C53AY5dtcN+XZGhBspHHOmhEEXj6Hocgrmlpg3TpobfCsZJz2jTwxCV7GOem3EHiIVdG8lON7lwg
/ekVgyFPYg6bYl1xu/EKlzTI4yitFljAw5BkTt3l8BQv93RYolRU1fVSrd98Be1gZDSv63HnGp3r
FinedfGgnka0yje/KI/jqyUINmYpW136tQ57SMthmSoKc7JSx5qSVAI/8kXc8FrvhtkBd+hMcEFN
Q+rM6hRUPbvi7YLwQ3SPd9fbj0lwNTXyZhn1Q9ImB0mCPmOleZ2i4FEI8lvnxjz1yxF5OtD547iu
u8jUj2G1BKlYO9h8CFxh5ZykyF6YrK34hWvWPf7Vz4DFh3RE2Gxw4L71R6eQpIVpanwYmvhxGOtL
LoNXCTCQuV18HankFGnhYsyvyJZM9FKrmJO5pfcK2+wd9fsLfHgj5m/E0lQbP3TzDMMWJyoLDa2K
ESHIaHUCjM+wzDTtmAuFm8ni1otX/J6Vf5zYDJtwpe4ajSrgeyckWM4Qzy/akIO5TGKVcnB6aTlD
4CB1x5HcoE2OTPWKAK16dyrQyCIZm53SSZ2CNr1CjNcpZq7twe/hs2Lli2O7i6pdHxwLztJb7BtE
tObegvfNpDGHYQp6QBaQ6zEb34xw69SR7pCJrn+oaYTw8/BWr7HCyOl2X5ZeHpzef4h93cGFhE+D
xyVEmdbNaUlRNswx7oYyLyN9GBp0h0G9Jb4BVdJxXGtTp02YckTe5ElCCgTtx1lfBFEy7abP4df/
HIT/nog+JyIXKYg/n4j+iw91//7rRLQ96wc6h1yM41Ex9LjbiW6fyxZ+Z/cwLAEV48/3wNQfXD8J
rKkEZ84gLo6cE4D7D3aP/gPdeVN4ExyyDe7vr0WpfgkcYGMbpiG8QCxZDDBj4Sf9jM4hJZimIZRf
O974xGrIJ6vmr54Nj9xD9L+JgO2kLmLAbneGaYOwi8SOV4aiH5cGbp2uRiZX476VsfZ3LHR3riD3
pp79gsZCZzOzF64qczDfsBZ76rGm/gBxlF9safxsduSBt9NLFy0s1V7wrfTrKRucDh09XM4Lnb+1
2hsz2qLUgSctIjuHqWf7tUB75LnswgUKIWSTWAO2AQtFmRK93fXC3vg2DHOf8bNeQpLCfvcbQZQi
hyvyGyj9E8xQQz4uUKTYPLXoiQiXI2Ke9nFysybe17lcGcYttI6qcgxuRAT/m6hBPWZImkN7gIRT
HglTOxtjlcAIX2Lqm+VxrdilivvzUA7nCr8TOhrks87370zd5jNjXdH2/mXp+V9KyxWYQt2lOJAG
svoEDgASPU0xSB86gmBzSYevNJQOCA/LoKqH81ize+U3wzPMwI92DQDFNgsVUdOee0hoNqN8Xhgc
nz2UqsFEsD2FAooiWFNNSj+tSnpZMf+RjKBddG2uoapHRdvqNffDlRVrArMtkwkEXqHviFN9C+HT
2sN4nHmwE59F9KKWF3iud8EQvUyWiD30rT3XE5L+g+nEY+JV/T13+dC+12z9ZpbqboXkXcR6EHHa
yorSF+k1VyWu76OrevewKF9c+7JMroOunE4WcDNIwH2aODooaZvUraDZVECTV6RZ4XOsRWf2iGx8
NT0WedRddUkW8Q4bp3+AzpKMqUQjXdO/69xnndt29f15nbv/3KP3a5373PD3A/nB3QhtACANlQ40
JJDV73UO7kY3gu0Fy3z/6X35gfxw0hK+FMgTBnUSY7PMz3XOJV6M9TBIeCJcBlrxLyA/j+I7/SH+
FcJ/QzceEr4YHK65saQ/17mAdo0MtG+vqWLyJm5sd1d7Q/yb4IF/spsVzXoQl6ma3UtjwTnAbV1B
mIN5Ld5sbDCwc+wR8epzBFRXxI6SRV+PFRYyuFecV8nlvPETsGvKWxQZPB/yd5CDU6GFK4bl4NDk
tPgYZyZVqYM3kPathh0A60hMmUPWNyms08tzV1XsJEZcuoGjmtzfmJSJ0gGLSOxj4o9ZxcmLLbsY
Qzr4FyUcc+43TkYKs2Qw9pQAoUiTbsyNrtsWKZMR9Qu0DkLXKhUJUdgB06yg+zDdvg9QIYJb2JJz
jHrsI26Gp2pBlGEt5wwOjFMjkBxZmr49+msCCIT49g3z2G9ua0+1JhIloL8NxQgGylXOXkVsxUyk
yQnewbjghJ89Z5yOtYLHwq2qYN/yPkDowS8PkTfTtA5ZexpRpdJSzLerbHqQtxPGMAfDuBOGRQM3
Q+qz5Aqhxm2lBd4dRztw1puB5KAevetp8mmOANFwHKvppP3meRxicGBc9alPo6bw2HCqYD5RWTnj
A3OMJ3PutO6ujLxDEzipdSTLlnDed6pFbmnVw8ssWHO5qODdaYW7rRDAUoPQhcOw51nbsHsgy1tA
f5K2y7L3Z/7of0KPIAF+kT6IttG7ET59dBFFyTipj4ODlUA+LArxCPA24OdEUQvIMAcMkDgcMoQi
zxPx3sNQaCTIzP1ctU06+eApWhchxa5zr2OWHPpO7GcSXjRLcomVQ/vK036xcmhQURnd2LLZray+
7tZapZEChA/QqNfQXoZ2yNFZHnDiDc/XJThHpcYjunzufPlKAJpgIaJvSyz2IrQPY9JWKUg9NK+N
lFA9DDVXSH6KKcMwod8Cuu27ICG2oJSwYiafpkyY69sL79OqqTfX5rD5N+PNyQnvRH38uxh/FmPy
H4fO7+dG/lqMt2f9GDpx6CSOrtsOSPgkzbYk/u/FeDu7DoIMyLbPcRR1+p/FGPvWAzwE6QcyEuSf
BELwj6ETQyz2gWL/g4/Vr58a9V8oxtjf/u/FGGUCdke8CpyAS3GK3r8VY3icscfJetchNxCO63lG
YJiO7WVT8ixYp1u07q/lVAJEKr43DOmaGv63rirTULB9gkU3aQ1cKxWSz0TI22gWexz8cdYlLBbd
Anf2hEjaIWycJ8EYmAZAZ3btwQB8KWCWy6IQpFXsQaBtcaulkV2/8QCpV6tRZIKSPsXIbYAnc9Qu
MOppFd3B+ITlJJxvaqNIMfZOjcfd8zovILgJudz2JQA98sfe0dhAJN33epg+zOp/o85Q50K3VQb+
676jC3DzEjwZ63yVaxCliBvnDQwC2bwmV31k7dkJ2rtoA29L3624C8FCgHLF/0wfYakDfOH0hnhW
7vkCS538uk7LMsByqUqCRBfkzW1/C+1NhRRbOrkgIowEM5RUeRkrmQO32wAueHfpUpjZCLQAYs1R
TkQlL14Nv15RL7I7VP0M6X3p2wN2Ko0FbxyN5ULLULilNKmLcGeByst3cFhjmZg/S1SgWs4Ys426
rSzsJ9grIG9nbGbY6wGuMYBZvFVTiY1vMnBhL4QLrOtbTNJj9JtYJSzZujVYkxTQVAi4MNXG62Cf
DEKVSRnuo9jYW/gngrTRjZs30I0qEYlTwldsBWqD+rIM3SY3iZ5Q7+d4v0hm0x5Gsykf/bpKnQr7
gLxWf/iJoPuxGiGqtSU7eJHzOit8fD5NxmKeOYw4Yw+/6uSIA0ab98TBVgQNx1DRD7hUJdJ0iBrA
hRY2/IYS1hbe1MPr59i6SLw+2AecINg4T+GeVkh0LV6yR+4TJizETG/iVbAT3jlwFvCyv1CBwLNv
a/dQwgaADwxZih5lPyWeQqwHHklAE+n0rwNS6nDxw38whROsAtSRZwP57MyMlnusjwBBgUWR+0FF
vMCHF8DpF37UQQxrha0+PCcg+8m1DnTAtSP7JhlA3sGy/OqibAMVQOU0HRINrJMRclTBXICh8xy8
yj7COiXAQtxziFE3Plxra9uromoo9MOF0GWXzKFsPngn7IF6nn+LJNsIXBZPZ1WurjwT0FjSXb5w
x2PwwnLsQyNJuxN8fLROwjJ3hXYlsMenmKBphfP05LDxKzZPg5NDjqCouhVhyQ5bBho37qCINo9e
L26Qj6yfbbLGoClZdWE1BXQagKFWfYvVhDQNI6RuRR+Px0RHWC03P2sXaWBGsZ4jcT5Mo6Ys7Osn
4jQnHiDQHZl4T7CkIuOd3IpIcom34qjb5EPgPnU0rgvV0S8uDW9GrzoN8G6lvRRXsRu8wRfydebO
Ao13uVGrpEcq5UGs0z00xQc4MMrCxaoMSLmymBss1qjL2u6Jj9V+TQ+GjXb92bApk7S6Y67EsMDK
IdVIoJ5Dd31ZEAcFy+wfalGd2ri8psRcOgtUWgspBHcKUGaPi20Ldfdp0Cf1a0P7/jlqVXNgZIbY
GmCB2gIW8BRFiEkHkYCrOOxekylEzXJ1X0QE/jjj3EfTZPZN29Yn1mvcylDzitYaipcEmtFC6oWk
jppUCsNuO5xWn064XW71dvOsbgmuf/uhagirooE9fO9OQ33HYezNqY9YICqM3mPpGlj4EHL/EHi2
WBuoBY2GnuKWsd0v2jZIU9dIGMOiWyQrMveRDD8Q0sbqqGA9WtVcu/147khzEWpsPCTG9eFoJrwg
WPK0w8qXelfFIaBpCQk2cIVAJmfBajBk6usK+dqyrv29TxaU+gavtupw1/oGu6R4T1gaVcgT2gFV
yh1Lbw+gyW5DiUwk1tiBq2i8aO80mJKaDkrKyLDNre94gHSQ+efyiv/r9jnIKP8Rd168TNN7/+uo
sz3rx6gDfi1JIhcLX7Dyxf9cOvTTqAPfHJJ2SNSR7yTaj1HH+wfGHBznDEsK0OcnWv3XqAOvCug6
+MfcAKmMv+R+8bY4yB9xJ7J5EERxqqwbwP/yqUj+5H6ZdbJg6WBkrq0hU1xUc4m9eTpObM5sXSH+
W57V2mKhmW3muX30tAe7mefSWh2HtYYeNUdrezHZxKxFAwCBJIMZerHVAazqetvK1Wa7l+VaANjW
NmWLhILvseQjcTtP3dtpmuQOnoIApLFdV9hgB2EiGMCc0sGerYj56wBvsYHWtAoPUYtYs8UrOp/J
tcCE2cExTmF+UbrFwkcXiam9nFkQPnDPqSJIdPJY+x4IsT4K1AHLXOxhIVY3H2brC+yzRTDWdKoA
oQlhZ+shTknRTba+kny2GDvYuXA4+s68daCkwm3ldtCP0FXC13lrd+vWs9Rn+wpH5O1CtLTIOABG
Pf1oetx4qgOxFg94bHCw3MSZ0RUBZ8y5YsN0pt5cQTSE/5qrEamDraO6W2/1P9tst3VcufVeHcLk
4239mEqspa23Hu1t3Tra+vawdfBg6+WIRiZ7OvTvbbyGe7J1fGxIDPaTUHXhfs4DLG6KINT8pt2m
BZTdY7fND904moJuMwWj5L3apoxQAux9Fs8OC1YB5qEFQiJ8BVBkh2jlOvO2maWS8iM2Zbkftnkm
7poZoZhtyuHKj/dCdNMp2WYgHxszLvGaIZNuE1KLUaneZiY4yII03OaoZJuozDZbTduUhS0AbUG2
yctoDID9No11lPzGt/mMbZOa3GY2rB3BCLLNcWqb6PQ220EwHG/Z57y3TX7xNgOu1hu9bN0mw0n4
SMB8ToszzNjTNkEuXqwhWExjUW7zpcclemLZdIe/EeJ3WQLs1p/TdXv+3v8/quZGrv2omvAc0xAR
3+8G4T9WTRyRCMsx/vPC0Afx9jtAJMk/qOuihCXwFIKyAyX3E0DErmWYjfEXDBxg2P4SWxf94hmE
Z5GiqKP8wjOyfbs/sHXYWgB7gqbJtd9Jmzahtw57SQTrb4nTV34RVkjFPyfEB9nGUUZO2PjaZ+uc
XADnXMg+abOha1/bUZy2GNjsK7azQSCqdCAc5i1J1mOPwanQc3LbUvOx5eqzWNKXRPt7J/YzNmHt
ajjusdV0T3tytQzOwan5aygXksWNuGCNuW39GktQgamYjA6xC+q5gQRKpMnqRGBhSWP3oQf3wOrm
te/q1FQh32nXHqw3Y1RzvFesScU8NodHSePfICsfV2ne4GK+pAlWRRQlfrenBKq/KqMWO5zEu7Q0
b7EiJm0QbYapEPuUV8fZLfD8YluTdxiVOM8tnzOj3CZtiSOLoYv7IyII+G2R084nsX7tYDbDvjJs
YGom4Jk2kEifEizJ8PfwfLGdbAnIfsmwU9V4L7SV53ZqsRE2gL0FBuqnDht+Ebm+r3pxja0RKLZd
Ge66CcpO7/ZHeDJQxGt4OzzknHLXBEiadFTsUSBJrrFfJ8MGrIuhsbddiBLBUJArv/lmO1CCLgXb
hQ1Ij5Qj+kGYfel9DXbU8z6U75y8WR8R3b1o5BY8TBArnLEG5/Df7J3JjhxJtmR/pdF7I0xttkUv
npvPQ3jMDMbGECSDNs+zfn0fjSyymK8qF7lPFFBIgGQmwwdTvVdEjvjTMJ0rRAXCH5q2mp3+LLP8
vdDK6YX389Tbr7JwLhbi0pjnt3mTHnUnfJi6tEelzdJuDVK9ic+aUQ6SzW4WKRtpXsXOivPBb27m
yHYPeedZGtNJvEs8r2XJiDf+YrhafHSzatwZgFEOvC61vrH0pN6htPgPIaZqP8gXAUu1qaSzH+2F
I6q1rXydD3O0E0sV5yvCcsbZzfOB6JXj7TWZ6S//PA7/eBxCSfvrxyHAy7fxvX3r/vMiqdD3vx6J
7MxUHQr2NFPn/34XMHTumFzhuCc6fzzcfu7MwDPYbNowXfuAaf4s1LqfWLCBdED2VaBMFIe/szNT
VQB/vkhixgYPwX8JD5bPnu5/PRIjj8XE6FVXHUV/X0fhLiYpuGrN6TS440JWwOjO84CDx9SlufPn
4bZMseeaZfG1xdiz7jRslktsb3yzXYJockwcYXETDDH471SbjHXMSoH9tCPX2jQXtw17t9hmzQsp
wAygZJ8gG5353O69ygdoo8U7Yl6fQ3KoAdbNi2wXJD7Sb4CE+2NUMKxmln2UXsI1xHIvnCpPkU2+
oU+8O39ys3XZJne93r5h1SsByETPY2HXqwnQIGgtF1vwKC9O6X6eQwhMkDVe/Lz67Mzjyc/EeXLz
R80uLr031XyF46eyDfWVJoCmhZNygNyXZboVkfbFwNTLI2bb642Lml2f8Uy9IA3cmHGRrmJ73o0z
EWk+FG89VP1VOXO909x+kzhkdQmw5Niqse8sYbNsPK8c2BGNC9y84tpOMxffyNxXMca5eRpupnwc
VpGcxA62wzYlezZnY8q+TZSBZshbM3S+GX39mA3LFmIM2c2ovJ0tZ7vEBRfpood40d06g/sUNyFX
Smt5cRKE5WSya1aWVhbkZVJtcUt165JLX9/Ku3Yu3a2I8+Ms8vdY4i32euPJiVnJtUwYgVP513R0
jZs8dPezFz00JN4OzoCsOnknZ4HuQcfINnFHdOIGuE4v001v9iOwHe8ldhjTh6bk5lwlO1wB5Sor
qm+Z61TrtEebJWq2zT3QOXq0WfplTwAzRa9Iv7at+U5U/R3TS7SPGusmAjuEET8CFTkWm3TJrWdk
HQhri0fcL1SbmuZY2M4htwUsr3jbelG2FWDeNss8G4EROcvO+1CRS3voN9Oo3SX19N2X2dQGtk4a
SG+bnWzwn7t9c7S0xggaq977Dmd/ZYQpeC7XW5Ph3xtaVBJjnt8AkD3Cq1hDoGA9Q/KIjy6fI/9z
ZY5mQAp6fGigYeOxjuZN5rLdXYDsBEIOYtPnxLFRVO79ETOSEWJkSki/+s45HDuxKjLO7jxK+V64
cCe8tBZbs6kM1H5H32IfzAMdktFpMTCsafE3M1JqXFjcM3ow+4GVIz/IzxL3E6QmOWw6q8qVo/Ja
VXxT2DzMAEHq29C1z3Gh6+taT9lApLyApfPa9+LYVXeJZTHgtd6t5xU0FjjVzRxCWBn76egb1Xer
Y5veLOkbpvR643LQr7VZy9as0NLVZDdgVBv6AGKp7cwlSOWrEZnfx/acptztp02CQY/LOx+DsQjf
GDBHlpnNJZSZYMWnPcy1tS8FmfuliZ+1KHvPBr4yRlnx2a7tbedjIdGKmgwjRBmO5kfwlD98RoWA
XokIRIy7s6oy2lisyVdajUd9jJqSc3q2L6IsHnHYcTiP4N4AMqYb15fhepaUK5Bjr4Ko1QmyT+Nl
bDOPxD/bu9xPHuKWT7NtReLQ5mkM+IR3HAgcKNVF3lVhzaFPxJoRhVBBvWj3JvSRtc5/aRVjXme0
dIBAZlm4HVlCraumt/awUubRYi8HMxGfRXNXWOYpr7oHPdQfQ5tOEWGMx9CzjY0p5ZysuqptU8g3
on3JfLubNg4zYxp0Q3oahpFEVT+ahbFNppDseJp0IFui2Dr/cyf4uBOoxti/vhP8bJv6zyvBR9Ps
vzwN7JYEqGl8C4ZqtlS3hV+7Jf0TIHTUNXDlDqFITut/7ZY+6vOgfOiCbS+/5c/JTBAf+MCAu3K/
pX3t71wJHJuM529XAtWYagHipste9XyZiqr9pylJsBwptKoortKOj3gzVtbITmHOQAeUabUdmQBZ
3ucXC3DbFs1vrw9il9T9NR60Q5mnmFyNu5I+kMEUx6mr37LB+hJ2KNwlMDgpzpFv7WXMrijTqiWI
3ehLt+R3YxhmG1Kfb1yLnMBC6lmF+VAHEvPRqVhA8uRQ31hm9yWP0JhPc+WRdy5uvTgDyVH5OtQ9
/GJ+9hUgx9YMxW08V1duxPCi/PRlEiNW2dK5enYDEXvIsAyJKbkOTvXdqSpMxXOM0zV2nQAkpDjY
i3fue/dghsWjuczviyUvneV/zcPucVrIm0Px2FXOcHJsaa6q0bnalXvMQWOyaLKfTED2supfJ5ZZ
IABGJg2N9Zrv3Vp+e0LRICCf3aRTuq01ATmXpgSQAjm0ylb77BctPAMJv9hOz3GLoCjrhfKWrD+U
Nk71IpOCDguwDNCHXmGr3trjcLYGr7qpmzucctsiSzaLS/TI9reDOd8zGq5Y9CeMkeLNFMCbcu1l
tMLPpPm2zgDFyh8n3Bx58TVZhqda0/FBSGBVYk5vlpGXrsmGO30O8bllTvHcWAdn6bwevQgTg9m4
402ke9twQlngpJ2CZRgfYlbt/DOBOKfL131TPg/8NUI8IUGWaFj0p2pnJzqvjSdIwy8nYAopaFnc
+anu5etq8cBNLOZ94lWnaQq/Ww3nYuI4j1bl3GusGQIUg7NPCID9mkuTS81YDgb8XrPDg5321tmu
iL/OTfroheU3T4dBEBZ3RZx9T8v2OfKZnglBcyjwQ+3heE+BzxIR+WGOAsTmrWkpT7UbBtxRsm2d
DGvpgy6W2U63xn1mIAqAAV/w1g/vQNXqteVA/tLd+oWtGaJdrfyIvNoqmEyWADtOOWNiNzumPM1z
xUrO+OcAc9cXubS02WT3YT3AHNNT8hCJJpA08IcXQzmwW6S9oprzsyjgBHrdS+K4Z9uy74EfsGVI
/CLQhJS7okwxG6Kmbn3IyqQqjNe6bB68kTfenqL1YssbfQjx52sgYkf73q+9e2C2+8ksmcPD8OAq
q6DNh36FfrydpZcrILSFYSbrVvWETps27cjNYXmLTInS1dEGk/OKrkhFH/tRW+uZswFEWq9EXiRX
biW7RBrFZsnuNaJ6MRnsMZJvUBrf+tF5BOP8mOXE2WbvNjOMLJgiaQVI41yCEu2Zshly3jSxKNt0
/IHhSGBs1grNMdgjUFloHbyvy9HqbBqzcJeAdDVZV1rvin+S69plxg+4Sbyl3GCKeqtksl/q3g4q
SLq8XXAll4nlwtIS4zYaYBDuVJHx6MUuxCWkvCn8fUbiNhMoIrxW4oeRo9AvWBiZRtgte7l23wz6
e1fwkbCcIjlWrvtUt81NlxPdxgDxjs376mrTtku59GtGbikforF1RLoFstOeQ4GXp7R4t3nFT1gB
uBCXfJpg9n6xyBVuK41nMABhPxjH1oK9FO1Dy5n3lVjeGifBq8Cj0cqSbUNKNcAWdSH7fe2U5d52
cRktCQ7atJgYm6rbptNBD1mPteRZWYkHEXGnraSHjaty3yLMTUS9jwY/3HpKdIfwyvCkOVIEYZoo
2Z67eGvzoc668Atiwpe2b+7jzuJCnmtYyAU4NB5wwIWGh5p5BOGO99fU6EBTi6zJpfMGRfhr2uY8
KrCtxwCxW7mLmrhYGVb3uITTc2b0n9vGIx6fDZ8tX+p7YUxiTVYsPskuHYn7xTYEdRXgiCgqyYWJ
4SB9KB1zJ+uhWoeZ+DJls0INpbBzfbrOfDbPJjcxvzWeR+du6o4yfJmSkxWbdyWzJQvO51QrnhKq
wRxR9junrAjqYFCqc9GxinPeBQ96QJ/+LWhovtqWFu7phmDXAt53k7sJUXvLWqM6n4G93I++sXfn
nMdvghi5iIfSxp1fLeA4o+GzqyYdvemPTX8zOizAbfBOkRvdWouZrPPKT3YG+ZzAbpPPYpG7PG/T
c6nx+CfXevEXV+OyOGSQuOd0JRlmV13t8W6FsEnr6GircFP34VkVH/7VZTCNvYWnlfE5vkwlrMIa
vwSO11RZXwmjsnbrG7nciA9rbMf77C6slyKPwTUJg4rn1zHspX8VZsvaQGpyD/rHOoxufMPGHQ/u
YC3LTqrBKq5ZD3J4QIpiUC6YvozaPvA0OjpMZZlnsSXsSRtorUVkxq15Qqgxzuq0fcxcZ1ldtC9j
/d1c9HcS2185cnDTEOVcdG1dMBsa+O0YKPlKmqJaZ3P+bU6ycmVHsIH01Fj1AKgZpJ0XuntGKA19
upkw6zWiw/5nkEIZNWASrnOKeLHrr71+FFao+E97jdXFDSiUq1nPITJHIcDg60+8/JzizMP1nB5h
1Lvbupnv2s7ZpfBf17bpltty1jOMlbpKRNNrJZrppeyJ7sy5Km9bO7n9VPjN7QLeAvUnO0yM6W2S
345qbu+qeSsY5N3K+sbD9bbHAxcQjYYMxdAvtHbLAw7Z2Go5sgW9FGpD4EqxL53eUKHyq+uz3M7C
eGC0zJZNO5Mc4rmfr6EDYc1wuk2hNhG1wwSYVMabJDBMXmXauQkiIhzPG4zjLy0LjdnNXQIl2kaw
6iAc84WjZTtOxj1YpRPf3L1rOITzWJLUsquDNMkvk+CoZY2ShFBsWKvYtXiZ1J6FJrjPHUG9Sm1g
psTHAKIRbvJZzwDFKIFg5QeZHFurvcxRtK0nI1sPbHRitdpxNOcJs89Fzgh4ZfI1ZwHUZJQDdiYo
mtkb9vhY+005O5cCqg9mLR6ELJJ0cKDrhtVSVhnniVXToHZOkdo+ORL4zlQUbE50uY7UjgrOuLHG
4CJX6Ks17WMGzv2iBArawYXCmbjv1Mar1dOv7sQdxmMZ5tYdWzHqS3aR33XnomEJ1rA8y1MXuxHr
tCynUdAvppQ7Z9jz5bJzT1qPTq8dHRwIOyeuDj63LUybtYkXAbXBSf4xmP8BwhXMLn89jp3fsv8S
o1F/5td2FhKOhV3AQrfnCFTB3V+jmInZEenfNml9+GNx+3MUw7ZIzcsvMMbvo5j3CdIuMWSBRdLE
rPO3RjHGuz+NYpQAKRIkjkvGPh3rm8Jp/G4vZ3khTL0p7Ws25tEJeFcTPsxMYs0e42vGQ8Aif6Ji
qo1nczPI84PVcpu18Tnvs5CSjmIxiss0kZ5cpXAytsr9srIoGViZ0KI8m8XFlOLvgSd31MiMXlyi
mBTJMRMUEUJyn2196b3bKMK4pLk84giUyCxxdCrn6YRAvtU8FPDESIf7fuwOxjg7r/nsl6BPY3/D
42CXgxSTZr2bjOi+ESUbD4yR684A1FEW7b6X4sbv/Hc3xFtleld2vgfMFw+Jp5Ii3YsWefWppLmt
if0DfafJQfjTi2o59LT4oTDsJ65E7Ks8QqNWZtYPoou+wDM4EBvdpHpI72P+NsTsXThbuK31Ixj3
GJ0bC9uKtBQR2bZWtRf+qYGCS47EQJbKb5rc4OhLo0tTWG9t3F97Wf7oeaFX5JcDWYEcWML6CETL
DQo6PDhqleGeh7KBSiXZLWVG+uTWJpdsd+GWob14rcqcWmEQ9+lhiEgINW4nN/7CEtED4VfDcAvS
CT/R1HzJlmiXVVoV2GYrt9GCsSiq428sj9pgwR+2LsWyc7TkmEc+NUp0GJQ1bs2pByOftO1zHcYW
2vsPUrf63skcH98dnn2yymsGjx/azOUNpBRQkgF7Z4LQObrNo9d62lnz831mt3c5iW+AviBoR7AR
fU2Tjgr4znq0vBKVOnqR9d2lcnfDbdAPgK9/sdr6aEfWK2v9uwYK2thyAaspqKQo+Ad+q2VbTZm/
qTsKLt1lnwFlWbWW6IJ0mN5nj5I/mmXpr6yjbWoM35aYWYMWvK07Zt+A+PPraVuDxWCg/DpiRj7P
to3KVSjBqyeLlq8nJYPx8zv74kMbY0eGTjYi+LrMqq5GYoqnwZpcXelvmpA/DD2CDyjaHKaMnvZA
uCA8kPG8hBljTVnH8X4Z9avky3C3eKm7Yzqa7mpmDTbzxtE0UzOwIoKeDX9GJrV2TSMs/O6sV4D1
RzRGu6GBMRMANQilz4fC1QhnN1Vy9LxZ7tzRnjZVgrN+iSdcYeO4nfqCYTW6NvTernhIXUwW5Sty
0XdI2DA28/SmcbhaGOLz5NnLA7uF7EspUtoQG1DypsArGLb1xoM2zIlvZpuSdpPRorGHXBrbZOVa
oVWNz43ha4SR6SoVE2VjhWXRfEq9mKstF3gg1Giw0hwoiMIvyFlPiu5rO2g7YeLMGdkjlw7WPwqJ
jhoJgKOIcm9dcfvH81q2r4bb4AspvQm+IBsEK2l6vMFuvk7Yb2yp1SoC2Uv9WyOMF0pJwq3f8XuZ
L71dKWeeSllu76qC6thOS/XdiPAOy069v6FT0BQbnho/3nF1uSGMmwaTHI4pQZl44qfW2QGJqDpR
v7FLirDfVH7e0dXYXkCpe8EcM5ya3sA7BFKx7rJtn8bLtigLbhwJgJDU9YPKs08e6TjQBQywdvZF
HwHlaN2DzAgAcxUHiw3mEm7/pRtavAADLszEbXdhXe+dofsRmTTu2HjE1jWhQn4fKeiLNxePRZfm
Zz8eb0teUUooE39TVHaLJ0bHXt5/XpxyO1k1znPvfaaWBY2kOPbZNG8iMe9Aqj38s7D9Q8TlSP/r
G8L/FG/fq/Y/17U6f+rXHQEFV7VH2kwjhmcrl+CvO4IA2swe92OL+7GS/XlFADCiatCRdT8Y+r+X
FnqfDIEfSv+J5Xf/zraWqO9/XBGg6+Mo48ZBEaKtwnO/XxGqmmWUDSD2qufmY4YwYHT2qbC6u2xm
UwGYJD5GOg5sYe3TBaRCofSFUCkN/TyEjJ51w4AHLIAunHvd4loLUUSsJoupoZMCIVVJNT7/rtKt
cBaiNR38CB9XHecPrVI+ZFlR/FvNF61BFWFE4OqslBJttsO1q9STfDQ0ToCpudGRVlxuUBd3lOWZ
Xlbc2Q6c9Cgk5WkoUaaDgecpncYhsraSbfkYl2oDoMQcve0ODepOSNpu02UU5rhW8U6t2jOVVNoq
N+x9hTaEyQFzYdNdpJKNpM3c6FMa0NgDHH60pbI9pOIslN4Uv7Vm0IOCraowWk/jQGJECVQu5NN1
mc/Z2mCy2dToWFSn16u5b78PKFxMaBMEEX4g+pQPHSrYovFAYb2kyfOAQDZb3quNYFYp5cxfQDz7
iGktIcFEqWvWCNOCUfqaOa1S3oaN8HTeEtPtVn0UdQdXKXUUTd0bSrvzEfFmxLyu9OiZUfpeImKx
NZTm17kj6p9DmroOq36TK20wzCaB7dA74+c7LEPCU7iNSYOUqMZM0LrSGBuTZjyvW+h39aksc+ip
2URKlYx63QxChMpIYxsLBmnX6Omxy9xHVjBvQumbxZKtepK36Rj76wp/yqqmqmpVI4lO+mgEDiIp
MUxoHcimvlmkQRaKUr+trb588EL0cq9lk5hVV2m135IKXKgxard8wN/8KoHAmnIfjTPxwqB5aana
WmueRXfkZL4jhr+PYEy2XT9zf+q8kO2K/ZX7j068w4jZLDsZ8tbwYBtRdyo8/Tim6Zda+ifZgBSz
q3iHE/3cLLBkO507cR+FYlVlIQd11930qeTrMz7GUfi1iV1vT6BgZlYtHkJpsko2hs+N6R6yBiCZ
Z1PMvCCdVlQPbL2uhDFtP7WxHh/HXiU3UvnAv3M6Y8UaCQZUFW5apw0+qqbGls4w4as3D2NrgG3I
4dC2PndVijdCspHvKHg/dsZAAFNjORkvSbMixYhIMXfVS6Tj4SzjuL1NHdtfTfj153IRW28onj28
/1zeY9p9OIs7oyLDYdYlVd4pYm+SERxaejgWOP5XVerEIHSGgy49/QCD+eCKMN85/F1WjWMu3D/4
lnpcKzA1yVXVlHurb/apRnqjQjdN8bizG2NVLW1a6GmimleLFbt4cLt1bwnuLfyDZtm3KZekqhuf
kBROdjscK3O58a32YXTxNsiu2OEdzogahBL2kLgZ5+EpqT4g8/FtYQ13WQQILIP1U8iXLuT2noGa
WRVV+uxQ92DN+h5X8iOJG3YSQ6mzyKxMNn/zOcMS6upttS0WfBhGO1/C1rzLYORu5klsXKM+GsNQ
rpZu+GHZ4WsSiSuVjDc0SN42qQsmYOy+hqENcTmTL3ncceVpPG9DXdZrV7jU6CDdr3oD7FlsnZQz
G5QHnxoqQyHLmQoyl1hOyaJA6bRxNWOnRbn95wj/OMINjrS/PsJv3uq3/zzA1Z/5dYAbn3RHAK9F
Vf0DXPvvA9z4BIQATw7ztcs9Gi/rv09wQoQGvFv8UeoMxyv608tPeY6NJ9U1TdvA689U/ncsWB8Z
8d8rUFWGHDO/0m4h4uqm0mN/8/K3TVdY9mjIK3WTBffbHp+iisnW5GVF2uxC8rOWCtKiDH1FuHlN
FNRCJ2vb2WG+bkjfgrJFKiSNK1nm2uRzjTCH2Udi1wEyv4TeLe4uqnVVqLch3ZuR8p1I+1akfuku
2w+pccXqSVSIfWTQRiqNRFbYUaHhnvSw5pQ43dmJ0c0WXVwVMdZU2Ngjdbyo+HFDDrkgj6zbE5RB
EsrMvbcdiWVbRZeHtsRDa5JnzjDahDNI6sX273ISzxENaaWKQC92Wq2inFj0Qj56UkFpqSLT5Ud4
2h537Ltp2AFVoZGvLlTQmjwBbYP5FG96n5w4Np76OOjE5owaDOYAoGSd4URLcpv1c/41GpJ1v/BX
r8dux0iTZEFlpbtZwrN39VhNpvu2LJl/eh/th4eilYuDsVQnU8+To6DqISwXGg8VZifMKFmgtyzw
J+eB6jGMVl7L0w8tbhX5rXX1aN0qp4FDSfrsXzs7P5AouXEyE+9c2QddH752kfeYwh49JJq5t5bw
HWUeqA8dY5iloe4AnloZFYsBGmqwgoUdImyhPy6ejw9ptg94pua1FdX3AigkNw43iDGEBZGk8o5A
anhwqJ5YCZ0QQJ3626SE+ytjZIiG5kSW5Nk3ZD3m/kaMAWt4495vBOXMdrahZxWEui7itdYLnZ2v
2iDlapmUQS7H48WCKVI3lknzskPN9mlWa6hRLaTgJKS7vkKn3rddVMG5ow3iKJz4OxcKZtIw84+y
jpMAg/6hbaLHTndQnXp0Ca3ug6J3COsN9mb0yrU3ltWp9FrFd/tRQTFaWXI66fP4UncM9Aguz4PR
oAmzxQvGsKbvx9M3LFXONC6eCbdbpN7SO9l7FHaQ8e0n+1JKAJOh9txPAnDspHhvjMSULV1deGSD
J7Z2AjCgs7Jq5WfdLnWNc+5w0uh+/wo38jrq2ZM/U7NUoDJHRmPv8OsUQSrwuLVp1W2TuMTFkIFD
0Vj6R9Qo+/6lBAna2yxSJlf7TkIPOOrSBJEWEfUy9O9mUj/TRLnWImIQrWeIt7G1N5rQvjC2E6Hs
PVAkqIFicbI7J7NeiUqcOuF+d2V3Wuz6RgoLFUOSmKvs68xV6FK2Bcu3Jt/UCBzU0rHowuGtGfH9
yI1zlSULE/pjpm2sxTvVCWuPMe0ocUy4odTaYzIyB/RZfucl+CqMqoXABfLKGcIAAeo2tjFCOeR8
TUgTRZJuNM3Zy46YWx+mDYY5oNRthigHxILNxYEVzhXNKRgs3nVj6k6jy9ImK+Sr74z9ti/YyXuw
pFu8VFoa4VNqzsMkD36dfDXsmpSIEGuvmPxVnaQPfW5/9VuYuABdQRU27jMBQlSEIuRLXMXKv9Zv
ioZnIbu4fKa4UZEG/jlxP05cneDEX5+4VCkP3X85c9Wf+nXmik8ukaCflBW12P41NBufmFMBLdtM
qx8c+V9nrv+J7Ai/xFFikwn5Mz1a0aTMn6fx3/M4Ger0/s3jpBbr7h80aixOXLo89eu/nbkzHXDU
lIbWNZO1C1bSqQrz6xibfXilAtMsiotG5fLeC9080Ib4YbEiTAUOkGNSAzxSQzQaGsmzzeD3Fg/q
Qt/r2P0pfDHbYBirN7Ra6hTs5E023bwuzLhbIxLi+4loIA1TEsb0Pkaspeqiwwzh0T3pLQjciQ/s
GDRVSMlQRg2eVoybuO2VeNefhrL2V8JNPo/CYVde7uhBalFk1+VI6UUDZWvUC+C0aXUnuSuT0Tpg
8ySVmldwQXu2mT5tmBhk5Jufgjdw2DYNhYEYnhu3ht7nl8GS1ZbC2RKxKq/oem5+mGH0NqSQsArN
3fTLO9Zkm9MaXVcDXZAX5WU2rM91GTFO4ZneWx0N3/jHuSwAEl6ZFV4SSe4kEON8MiUPCqOV74MX
bodqPLHL3wkO4K6udp3ZbVoqqY1UnUdgnoJ2NN97nwLyiZkAg5chzXO5yL3kmgEdjL1yDOGOcN+j
N2DOyPN6X2TRZq7Sx5y9Zt+Xd3Wrn2JtCEji0JNqF3cjb+lQWDyU56Qtdz0Axq3n1EdBYLnsYkZr
Nzzr3FdoLS4D6yMH5KlIkJiJ/74ie9Ig032khjTZL/WuEJC3I51gBfx8NtQOu2pYRrTCsLxO2GLT
HbjlahrR6cQvJ2y6Mf6y8lbL72Kc9/0S31hl6MGQmZdtw6acRqoWRNjyBZPgYy/nOzGKV5Pdus6O
HSqoHzhq7e6yf0+M+TiphXwes92nS4E2efChnlrb2zpzGnt8Kl33pJC088CGf1GrfkoPWLpE3jVU
MgBcDOYeSqziHp6lkgp6JRpI94dIK4uC4v55VLJCoQSGHKUhU5KDjfZAQBTcMmJEq2QJrYq/RcAV
6Qla5Nab2ASlqBiG1n1J2LFXSt4oldBBWzTcBqSPXokggibWWckiVByCmtFeWnR4SOQCCEX6BGE8
2qDHuaxDGEZRWehW3edKduFQPpZ4XFcxTdiDkmZiJ/vRodXUaDZjF56dnEE4W9Ib1gOnWsk7mNZP
JbXdiq4xBilTZKvEoFTJQg1VUateSUUGmlGZeV8kXNsitw86mpKpxCWpwXXUYgQntk1PRHQeZnZb
OopUo6SpGo1Kzs0pVKJViHrlzLAhULM0xznEqFua393FsB8oDLopUL9QeIZAKkGsVtIYjoL7ETGZ
BNae++quVSIat/VyxbfHee1Q2Eg0Dffhh+iG+kZI/OT0UC3+Odr+GCY5if76aLu2b2X0XzRj4tq/
jjbhckqxh9WBjv2LZ/PzaBNMhuQbDRsIDfjF3wtXzU++hZjr2SanG1IIk+bPcdL8RMRHRcn519pM
oX8v5KiSlH862hhLGUwJD+m+AYraY5X9+9HWQHhJJlcPL60vwNjIPEOao1XqpM2NfirdjkSypi/D
q5XGRzpBvngRa7HaTb/hBRRkdHi27oEUcPA0pg67uW6I1qYJVzIDs8Jz1OJTIjfMVwIxhyUaqWgH
yAobwDeelsl7DwoDia60lfTBfbecaVEPZ1xuQ5I2ZBs6g+Baa9HM1aa+c8TDBHOdm2JHos3nWloT
Skxt9J+ZXLLmRTPPJHBTdhKO5Pn876EnWFqqsLRmMtbkoA9X4BuWVdxGx3wQ11pWzMY6A+R0J0x5
jke40qZ2JuVwEFF8mJOQRaDavNIUjQmwoz/B6Kz4XFvOTq+12xTU6n0deidIQGngRFhKsHdQr4S7
PjC0KdssDl6ZlkT42m2G69x3Vy2biTlHrG0XC+puxaI5jlx6apkdtDpIzKX9kZn9Q5LrD+wrCpvE
YF/eak0mL6aVbakb2EZ47l4ghQcupeyQiorLaOEnNivE0y4iTlO7rMlZtwOlXPuLWfBcsactLque
hJU01i1XfjyD/r7OAfsoIHAoXWdtCFrTxwiPZ1JjDjXtbtvPWnXvQHX1kQLgt7TAwVmB1QZrgkS7
EFTYjo5IYBfV1lNHja0bg05ulxxabB4luFWoohhkizPZrb/AD2JnIDTm8FXJ3jXoljb9o+2JHufo
ndYr7IpV+X/KobitQKh0/+//qj3Iv/cknqolArVnO8y+uC/Y2fz5g53q8aRnPsqxoceUfeST8RYv
vE7TkpXx6p/n3x9Xe266f/38Ww19/18ef6rU+bebvQJZ+FCofraR/nz8GSzalArl8z/u6uqh+a9t
GhAwlDD6n1XW0Pmjivrn48//BJ+fARBk7Qer8W8RGT8YG799Sj5u9ljUiHmrlKRl/e+i0rGeO7uM
YvPazZbOpnw8wKVq1mjjcK2dZosdGux9v3x2uUzSBGl9a02M/ixq17YOnD6dqS7q2/jUEy9bETtm
EtDblYefdD13482MgW6Nhb9inzBQpFh+iRPyaUV+n7FMKpf+CDvkvqkRzNJmwaNXGx3ef+NcFhmG
Gs2lTdOnSdEv+r2cwidKsD9jV6RIuZJz4MzF1Y7Mq5icjU/M3IVgnpEvOMgxZLDIqAQc43kXZXJj
ePUPq45xbkf2scRpVi/tVw8Lgt9J2OdFtcoMokemQdWeYxXl2qzDQJ9h57p1/DyJ4TUjWRTAxNhD
S+eb35HCLmITEzfiRZDU5k1WNMc8Y6Uz8SBuqPhc8dBAfsg9JvkWmS9qrimNJccZxOF2SJDQ3KLC
6sCDOPD1KKRPg4Ue+o0kP2DJHx44jJvRcr/JhBe3hg11Z4QL0K6ufY/pj7qkPKFtX2OjbtTLLi47
79pRi0LODfpNS6Z01SoiTqbYOGhE8Qp9w9klIwtRRzF0rNmN7vQIJrlUhJ0GTxSKJB5QU/F3EkXi
0Zc83ZsmdB5NcXpSRewxWZuYiuFjK5pPobg+ELch/CjWz/9n70ya2sjSLvxXOnp/O3IeFt9GqREh
EGIwsMnAgHOe5/z133NxVzVQLju8r0V3dLsKJ5JSee897znPMST1x5D8nzprNZQtPVvlwIHowNrP
wIKSXN21kh4UZc43X/KEYkkWEpIxNEnakCq5Q8kbgUiyiNj8Tyu7rtxNK0lFsWQWuRr0oiyAY6RE
anTCGO5sOkk50lUl3iqSfPQGEGt0XVylkouUzbzSarQs8hCKtXYkPymWJKVJMpVEBl0pkZwlUxKX
Ai28mbTm2HVKvgqFQ41KW34tUtrQo9ACbg5EBKwic42A3QOsSvkWRVr+OKBB3uYh9Z5N6Obbqcuh
52EQWXAsgrPnMKINSzonI973hV6LbusMeBzDwWCibHfRSyLBK0ps+6s+yMRWaeN1Z1Jp6eeMrDKL
sIiLqKcbeNSZ8NHFHQ/Osi6z1LP62Lqa1fEqHjsWKkAiWMbUyEu19II+WgxXSfWtzeevLWaWdVvS
ZpG6aX2IVFAK+mgt07qyCKkMnAKE3VNZmRsnTXR3QBRaEgptx9Y81EYCTlFXPg/8VvYsCP+HlC40
ANYoop1uVLienOQCy+NIeJZzWF4NA3UZLrwAZJKJYwwjc0I/qyjPxZkwOMLr+m3PrIzu1vAmgwhg
x/lxsBtPCPvQmI8+3ICusPp7ZsyvA0QBemwEsC8gA84AbqB7Aw9IBEGERr0IEuVc42phGe773vhW
kW0gJZoelEFRF71r380SbRDFs7Nom+ylYaew8LNsV8BBYJ94jgqR4a8HkZBLWEISyShQHyLZTsW4
6CVUoeZfzyVmwW50uj8lekGtsstOBNcpTAYFNgMUCZ6CStkvbbgNEfyGMbFQaiXSoW+KYA1jiI5x
HYka7ANCIsN5iYJIYUKgC3zpqHZZ2sI40nKBM1bCI9hD829KoEQn0RIljAloMtsU0Rcl2V/HEkMR
uQApYommEKO7xEb92khohdlHSz/UrAcwCBmhD9gWudY+F7Au8s68B7yBqp5Ra1LPX0eJxegKCoAk
KCPU0D4h8S9Ty74IYWmEEqqhEUpIAPIt+kLdisraTgP4RAniENFwxa7lPNUaxuKwOlrH3dqwOwDA
boRRbYJBIhApKkhV/r/5FDr0izVR962JbIgQA8XCxbRrpeQAyNGDwnjlZ75gLehguE77sE2vMtQK
qpNuUtSL0Mq3tpQzOnSNNGq9TkMNyP3GhveP2d7BXZ16jgIHo0Eb4ajyyu4L0Vh3xLRpAKE5mAxo
bg2s/KRghfvnbPjdTWz+VPa8e83brv6B7il/7I/dESdANj4aW1VFxZHzHpEqkf1oopzx0CiUD4dD
4z/MGBlHoUXKaaRMXP6xO9JxCxkagVCdrdXbP/qNWePHHTR7I0lbpfjI0WzVBPjAIfT90XBURNDX
dd5dzFPiVQQIAikOOtn3zfPfbtSZnX7Yqr9dyNQcOkSBoWmaYshf5J28qqaI91ZslOTMTPeWIRzg
wwy+07x1HKjznt7mnbFrGn++jjWa9VTmt1ThkgQti9g5Az3l7lUKKXi61uZ4DIkA6lNB5tKaAtiP
PWAV/bEfK8s5Dn6FYTJWC2PZG7AIrUSkl0OcNuoqKstCWxVD2vV4hQNS+szE8vsomegaw84PtCZ/
NlNjoOmnTC+NTilTTy2TFJeqzyIikQsibcBL2chX+qXSq2Zy3qfxZY0Vb5EB1PFCF7el8mo25UtO
xMVvlBu7r7bUmKCPWQUpFF4FpNaVywPNzVbmmO38aaqWOivjsqnVZTpV30IHlH1pXKha+a3T+2sK
AcnvGHX8AACmwUmRdAf8RfVF1ZjWWRrBaHazlHoY9pa5EPo3I26wZfghRSItx3VaZCpUX2GutIG5
UeteNHkzLGfN6bGJz2xicvt2UsV9qjFCKeIQ62HbBmhsxIPgmXHyZH+poEkb8q9otbWKUem2Nlo6
ki0nD09UoAgeZ2q9ckdlvDfSaOJd1Ip20SRdvTREPS1jcz5VVutQ0a2q32cvf3uPaZ9lDu5lPHmI
+HKuD339s8wxMTkMRqe+IM7yNJBbvJ6v7YVYVF67zbc4esJlsMo29gp/5sI8M9b6Stv6XvKLe/1T
08XbqRQEPIAXUwanOXp8vNWRKYYuaMLigqDgGZrE6CUBNvNyMECh23idq97X1zWPcHC6jnII7No/
U/mMrKTKvMnGAuMDY8ex89iO9Ls2GoeQti0xuc2PNu2pZK1hq/rz+KVKS2TLGjCC3cT6kiEGxTBh
TLovHFewOjcDMJAYaaMyHJ8xrovtHte7pm2AYamLqoXjG7lwfrN8G48k1HSDkKlSsqMJzjUfy0GS
R+qyx1gMZgPzDt2Ww4jSWwVxQtQmuA1QcVU9OxDUZD12yo2ScKPZbmXAn4q/e1L/9iP++BDhneUc
ievM4nlJGl13Pz1E3FkbqHby6wugHvGGBwHm2ZqkENDmFc1L4GergMf1n6fdH0gMGtn7d6fHv17z
06cpxt6u+yRoLqpAR9Qgs9UFxXJu7K2RdYei8pVFYJHNtitaitOmhfaQT+czJ5OFI/BTRM69wtAE
eJT4Bjt4XVbVQSusK8Wfn82gesyGqFpWeVXu/9Er3vQK46dr8nX0Wv9oSZY/9ceSLKnlDCJVKpdR
Zt8Egz8FC/y7cjHUdQw9GvLEn4IFUDrbhiSOUivzN6bLX/jHkkyvIBkOKUXx3HkzDf3GkqzJX+3d
LcdaCbXcJn3EvoC1krDRxwcIpsIsxKCnXOo8cNm4w8ix1McieFFcvsM0ktVWfh45rEXR4JJiK/nz
moY6wqmXHZqh5QSntOsem2b24Fgy6k7C+7w2N/QVnPTcYalAHWzsB2JQhMzGdjXbCeAy3Jks/0ST
A+L+Y36D/wf0oqukXlWpLefQ8oGo79Iytb3JIZZ+t6eZ/gg1nu81ADheNrZnoZnz/I9tLyFQ3XRV
tojz+V4N7O2AWugZSXsc7fAhppNqdopzN67u2QBl1Gdq38SQf2EPcpeoqBRGZ65rV6xnez6SWmQd
qsoN1IbOG6jIBltqLXTfobLWH3YtBlGY2JTJgMS2K7GuG/huU+bcVQPew7Kd4N1BFV0MvrGPlZTo
yiC2YAgMSmJrf9uxSy6McadxDhpK6zSU3Qn/Rn2bmtNTWjJ2tGgMDULli5Lh/1eKzCuV8RAkpYm+
a4uVGedbQu4xD4duT0Z1R3dHsah882xSX/BsPgZ+dzs5JgEhg4fq7NBQqlARl1b6IbWNV90ue4+d
4q0lw1aDYhClZ3fQNujYVElaK2WctnEDkog0RNlHnAh5z4IgNZbDFMQcBhLGVfVFO7Yo/D7YwE1r
RtQatYVMoBil0u4KxwlWrQTCYihDqq4Kpbah8UkOe/PGZE/7atjFram1SytRoLaPbwT3DKPHEoIS
y2fIQ6406AnsKmopAcDnkgQvfIaAOulKArRw4qEjL4e5eab3wfBcjuQEqCXTCmKepMzbkjcfmMnJ
lgQLW7cvRIiIhVeSv4NYeSHC+3Q0HnLJr+/H/rqURHtXsu3hA73EwO61aXydWzKtTG7vAvx8MrV1
UCQhP2m0fS2Z+bGk5+OiO46a5Om7ydYI6wcG2e1aF0a6MoHv43jFp2xYsBXt4YVzEjCGdMCsmrXu
Mo/g9yuS5J8G4iJ4SPtlDuI/H+MXYyTXC/1fy6lJSua9lVOvUpRXvQ7jB+7sbWnAD7BwF6U0Cdho
g0yDrS8+IsbG5E8cdfgSzNVVRAsBFMHmfGgectPEaTOJYo+zd46W/FXjQoFdxnhRLCwrXQgRNkxJ
RjosBz7xOKxOFDgHuyQk+27lFzPTYLI83ywctF5q9LWyrqakfv5nXfmug//UVLp8Tf91UdQ/1MLf
O0v1/5g0WjCtcRhKUGHxzuViIGtrxDONP/rU/tTCUckVoqEKhzpZTisHeP9dWgyVUSBZDmyg1u+P
Aj+f9gzybojuhuVAEjKIuX5cWFq/i5t0zrVjjvShJNG5HVBY3U+rX+yZ3swy7wYz9CxRaWbQYIrJ
Dhn/M0NQ4H1ACUyGo2kyyW/hwBgrc+7OsiijdhNoCMlqSrHVtrh0p+68SspbW6s7Ulft6A0ZGLOk
VpM9fjd3qcPx8fQJ06gw8bL6Q30/NGXpZU6I2UNK2GGTXpdckGFYeiyUiNG4nUdYUbVq6Ygejyjq
K/IoCI1s9FzEey9Xm1m2oSP7Jjn9PP0atnZLixJjrSZhybCNL9BYDq7RMYlU9fvQYNWA3ncNPewk
svFCCPOilaQaZUASYkS1q92exsqMM4ar3jLuT7Hb9v1Sk2aCrm+vTDGT4Oq+uE79CibgMcimh1oy
9JLOxqkyRUez9vcW3TZrWvm2luvXxFJlpXhd3xZWsI0cDJUp33bFNb7mrKfrPgMpYPW0t6XFWFIa
IHVYKGbwAuZHNct6bzbiS8Op185EE4KgyqiykkdOabcYMUneZ90CVsiJieXGhEoBNk8g9jcZv6gO
daLNGQdo5rWYOAdnRF2psnx0W/B1nPo6ii0WTWckEDIojZQduKQ4N4DrvjkTIEHFMg+wsbFK5Mwa
KgxHKmcbbei8ccLhNIRqtCaxf6zSMF7r+rCZM+MQBNR2tKqxcXve23BgtWSg2S/Lyn3MkfOZypzo
apiWUGbuIos5ddDweNXb9LoZuh3H8Z4id+VZYbi4CIbpLo0iczPq86U2kr9owhi20Fy/UBX/og0p
RqJR3RYpZkTKE3EVDRuGMlcZtkuI3ta5rc+wA9L8eY7L+9BuQi+zihv8PHR3VnayHTp9Y1PZq+n+
Gs3VrVfcYmRCDCzIKobQJ/hYQb2eHdFOzJeZYKvKmFBDPGk1UVpjqPKlYg9r1RmkwFqPZ2nKOqBN
qqwn3dWG/oLRdheZ6rqfCxBBuJX7u8TUpQyMW3VmBi5tOiP99Ums7XQgeCoTlVYSEp3qCVfaSU3E
q+PyMVU4TQruRoT//mYMmpYAyrDE5KzuoOcywhj6c6fG5CWYAphQM5Bx+whROxgerNhu8EGXhyBS
fK+hZ4zQziI0GuC6VA22zXYY2vvZZ+Y7AlXpY+UY1wXeYL6yep4c8cbsUyF2c8rEhgaNcAXniNla
H71Yw8QucSCqOnbqKWytzVi0rwl+NbZTyOBWeU+kkpTYLjTgA7diO1k2HRXKI3VTiYeI1Cym9DE1
rvuhYSDRnZUF3HVyvfCHPG0NrTB0jRainr4agJP1GqdvNWT4M5f9Rrfjdq2ojMSC3njMIQFz6B6W
vqhxFg/lpmNTPRXDQ13ghI0m465tFXbQIjaqm4LAeuDQhr0ttExNf/UY/Rjk40tDd5EqqW9wqdE1
ZBbhvWYGT183/MmajgPn+4Wx8c/G6+LADm0hnvIv1GTskJ8X/h5PVbeMN/ru549xebL9+BDn8q7N
usN80kSM/3j52oekJKxuPvb2U+nvXKWlj/oRDtwvBJMfXUeTcQtm+LDF3qTDd9Kg27JmRWM/H9Xo
PBwbUrSvbrAbuuYX1/m4+n1/O3k/WQMhh9skxz6+ngo8p9nBsDla5r62LksdYKPx5efvmfGjz+z9
i/l0kS5UlEaj4fLYr5s7omerfqu8OEuZ7Ttk3GOLU71iqLrWtrcXzjJdXPSHaH3XrPzVVXw2LLb1
sj4ncr4IlsWa/6zufv77aZ8klLd7ytAAR+ggA2ENf/r90o5qwXxS1COT5wta3FfKQf1CSxDUT69b
TouzB3UzehfVetiappftsWteMZJb00rqvf0q/3SNaGyr/pSYlk/t07+YE0TtdPGUvf7fvw+v+Uvx
HOUFesTbH+9e/u/f36cN8gf/1Ci0/+DoxxqGPPDfAcCfGoVBxliTjmgsVYgUfMT/M1VAukLUd3UO
4Ww0+XT/0CjIH5s4NLBQy1jyb+gT2Gs+PxgUU1op0EKIEdrsfj5+kWxIGw6tHeISQg8ssoi1yphf
/YHRL3XXlJPpytqEYVZPAQceZIP65AKQvNJsaRCGq5HbpyBwM4ed1QSmvVFr4M6RPT2bAn6gRUMU
J0lC/XElg/6aAwRMpghgLXK8d/BeILE6m7GNaGoqhcvTXLvPy0R5DioAApU2lutCQgUGzC1g5QAN
cA4eV7qED+CYqB/xYuDolGiCOezNsyG3z+K4xtUAvwDkPxFaiAad1n3NRkKkvYQdpBJ7kMI/YKR2
wLiEUdc2Vyws/YUjYQkZCdWVKwEK9YSXdZJQhToZSTM7rIC0cq8cClCoPAfCMOvDEidWc0Sj1xc4
RNKHXkIbVPVLhL8AtkFyEVVBuMQ+cxXP9EvqEB8mhTwU+4TLISqfm2hA52GPY7TkupweYIQt0RGt
PURn+RtOQoIlkqlRVo0paRO1bFNzJIKiLx1twcciLmEwT6R+XMyuBannyDgDaGwukr4Yr2YJtsjJ
vFyNsC4KCb1wJf7CfyNhJPMcrQFagmEhvZRiz5PMjFrSM+Y3kMZI+mjZvOE14jCkN8vNS/8acnK5
IX0LuJ4bO9/ldU8bZgP4wreEc4iMgRkm3aJsHPjh/KBWnX+lduFDGpp4eXPrKagzRJcm1Vaq4T4k
Krlvvy2/KS6sf/zs56kPLs6Jp8tUSQovnLJv4WwuK8qTLydoIwydDPzQtUNhac6cCcLuru4r+4xA
icq2ZbpmAMzHlGUbI+S/3Nrx1NHsaPuaBs2VxoCBX6DVOqnDQb4yDr1ZirOJ3a9a6KnOkadhM1FT
oqw0i9HUPa1JgmUZp+05Dg9l2XGjXRJnh/BVmdXeMgo2XAVlmPWg4fCeu40espvp7WWrjCoNWGNz
BiVdp8IzIIhEaeAFIJ+1yNwXbNT0UGRXRdfd+kI/NCVt7gtNlBcTToUdEwYyv8UMi4625qw10xsl
9n3I4q+tGPdRau8h3pxPIa2udgxkHWylVcxrXvMlXMRzM8seie3vWZ7Ps9AJYJ6Z/iF3ymaJT0Nf
d2EA0HMM6ENNd3Xcb5OKD8kJ7bNSnokEHo+FljhPAXrForWiy7EvMBrk7NdF22dE2ipPtdIdO4AV
/WVPWY1dskgAfzrfLDvi0ZKt6xmeWkJ4CEfBOtCUU8nUKixjwkPG3h04Laq4AcLWJBA1prcOlbSa
0d1avYKlBVuVdekzqQGHPH8rK/XEIXRnd86SPMfKapnoKeG4N0XiUYr0FAIJxDO0QnUDeW06xybJ
T06hvbgJ3+EslcmD6WQInCRYMw9TNa9FYngln3EWd4ibagvBsCeqrSCr+tkzvTQ3g7wf1STeMRE4
zsV4mUnRMg52/lhs8UaRUeTyqalcZfl4MTHK0eZpl/sy4M75Fhg2yuWWMmQvK+Ot1YxrYSrSax49
Ww52AVFuBTibJLRXU1lc5jTzrXKl2Kg0d8uSs6NGVCTqg+1IpDIrxHnfT+spjZ6qTuM0MXoVXxFE
bc9n8og64flt+lqnr4XfncYW7KpDiBpZLhrye7Oylw0eOTZZq7ytPcPXLhFBrpvWWhs9XqlgPBmj
e5PGGE/dFLpKQbQ0Q45yCRwspMUB5tbacbNvUxUxUQnXE9XsTegwQiT6wNRsp6vUOs31vaK2Z7Pp
XFts/52wOQX9dNVlL/lUvlaKEnq0Ii1sXYJkyzUxgGUSGKtQoW9AD68gDxyKXj8xOKONsJVDIo7p
9qJUlK1w+63TiLUCrCI2i/MW1bXmN7V9IpSWWa58QYpO6dZ8FS8a11mrenNGhygXhIZQ8oaNeQOJ
G1qlYWjPQ1fc81cZ65EGWo61GGYQ5rDGwrvNhyeGrF7uiH3aFruZtEwx0cEIInwdChaJsPQrzw1B
J3SWvdHa/gtY18eWYeFU2jvbtil6IgRRtPU2JxOKJFvIId5GjXuORMqXoo5PhYBIaozryO9479xV
gA/Kbk3uTnsDY+AqL9J9ySG2F911GtlbZ/QvfdlKY2Rnva8eQiZUi7yL1lk6HUtfgQMPSHVwruKa
gK46PpRWugRd2Hma69z6tXXV1M1l3pinbgQj4qjNdccJtC8xDNYzmFkzPU9NXNf0VROICg61fFDN
xf2UtHuNIURZkvhrBy/WcRkPctOT7/0yv63L6Yye0b3QjPBS+Ir/leIyTvUUOXmz1p7VCjhn6PQ9
xkIh4hccWLdxm9k7ptHRwrXbBznS1IwECAGkrUh9sTJOj211Tw/8DsXqkucthVl1slHJGpozbREq
oRFvVtSHkHH92tWTm4xk1aIak02iq0c6oWN4R+UiLwZ9DYJs6ycWFFqRraIZOaipPTsYKLCZNNmV
Q1sQDQsB4Ed/RImdXkqB766Jn9raXJSsf3wDqJymIGHVdcGqDgWjS3YISdt5GT6fJamObS+cl76H
Vx8pG7pF15EyrvJCEjmhxFK6Nq9HyhunNtjXrXlTcEzHu0obDiPGlvyyCAdxlmsG93rK9xTWk1rs
UtEeZjE8NHX53Dn1KohJYvrpiJe8q71MYfl7t6X9wdT0L0ctdogAyC3bwMBLpcmno2OLO7Tuolxc
Ktk2YlJcQPkFCfLzi/zlKPN2EUtVFR2clC4D/u+Px5HIUJgMVVyOztd62Azdw1jAV1pmkKx+fqUf
bXh1HCd/XEn+Ju9OqIVfTOrscyXNuQgN6fDDzj/vCriw3WOEsPXzy/3w3ePbxATSUFXn8wvTnIIs
XFoEx148tt2+Cp7z9LuK/7eT9B+9InbLbJa5jP4XT7RvwSJzpzI84veNh003TauUWtcsgMpMz0b7
C2/GD16RoSJ+01BjMx+1Pp0Y+txqtElpo2NEs2ykM1UMNmXyi9f0cWzK+Z7B6fuLyH/+7lNqfNGa
ls9FYqSblt4Iioh/+4P5cAX5Mt9doW9nhmwc6o51ebBknLG48e3oFxeRqs4H2eXTy/h0W5eJlPiy
JjqOgqIs03OjI2VSPOAezMizmkuNluHff1lIL4CrGG2buNU+vqwEv1eUY6Q92tUVDfREAXe2/+33
r4H1i1kcAwHqMz+9db6pC4sEYnwkULnKLABzxN7T259f5EdvHT471yTlpJOf/HSRYghtO4rGmM/n
IbfOQ06K8IgWrn8dM5alR3Dwr35+RXlPff6w3l/x04eFA9qtS3WKj8oosHh8AR3yi4eBhJG+u4Ts
BmWiJDNkmAHl4ObTw6cpDAz5o5od4/N61+5YPA8QIFfmVXgyPQjma8cT65+/qo+X/P5Nev+qPl0y
JDM8AhOIj72FFk20R3N5KBTbn1/lx+8d0zCFlRN98dOnBTncsttMiY9+BU9d3TtO+4v3Tr77nz8d
Q5V3GyAV6Qn7eGOXjRapE6DAo83Rl+YfdpuPEdXXQRz/4rX86B17f6VPDzjYkFTC2VZ8VM3X0Lky
/etq/sXj7ceXQApGk+WbZH+61SI16R1jDpJjnl+a3Qg8XFtonfWLpe5HXyFutj+v8umjT+o+JLnA
VaLkGWw7GblVbazNpPNwbohkk5q/+Iz+8rIwgxK9ZxjJUqQylPz4GWmuD+TbLtIjJVBV/UjKpZpP
v3mjfbrEp7Fn3ge8oWGVHoeZ0aCg7yA2f/G2/eVefruE7vCtYcODzvbxVcTjmImUk9axSZ/FvMNa
8osL/OVW5gLgBpmXmghvoAc/XoBHp42Xb86O7POyzvTCeBfFbEzd17f36h9VVo4V/l6VXaX/WhY1
6Me/qrLyB/9QZXFsg34HrqgbzDPRYN+N96l6Rlg3ITDT5PPm8/6vKotzjMm+gR/ge5vpR1UWRR6P
qAnMz2L48VvdfdwO3AX/e+DhHCNJTMqXRUNnzeDv/XiXVIE/mkLtm0vFKO4GyX7rgcAJDAlIDk19
FLMkxDHCvDcNwDouRJ5Fa1Ou4tB67zWiz8/mgIhaMjM5U0DPUdJlQz51IJ7znF3PBoevLJphliMn
eq3RFZCD3B44Eky7GLgd1RS4cUYnJK5v37oA8Jj15WtrJlprA8dj8Qm2Nbg8xNsv/kB0vo/La/gs
5HdF5G5Vhd2uwXhSV/ZEli4KBBrJdVBBPcbqejIhxJfA+tIh2kyS3gdMaU+/24PfametRf9yCOhP
6YN0HVR0MSA9KQtyXF+tOhHbVhIC69Gc1m4xvlqF9YqRN16SZOqWDWBBd9Tvc/hKZ2WX0mEDfFDr
w6tQ0gj5NZ/dPLuEgrxw9N7mpEVH0N0IzmDFQGiTqD7VNaX1RDBlHRQEOHx8O7OZvVqpuhoTTolF
Wm5wSb2wGp0GKwm2isvZO+tNjqvQ45dxJKxVJ8ZL1AOdLgjtLvKdQ69j6mVTDUVKdYpFXiKmxTlP
4n7Y6Vb7mNGGtKj0FoKV01zOszHgUJvunJTc1HFsMPKW7TgTu2FQ6Z6Hovw2d6GJ1aiPV02MRQv+
fgRECSROFnEmrqLY3ZXVhIySaLdEUCAFTmBBNAfjWpDoD7OCkgJEx+1uOisNLmBqlGezktUuQbJk
S3nsaoiVk0pzHKNfB0woFYI0yEZ3slqQNBViqi6oM9MDxJDSKselWSDUC1EcA/TJhQV0CSzajS1g
dA4xfM0Ou0pqnRldzls8ZUs/Hr+UZvRi69m5Lzhg5mrF7q6G7WOL7snIGgrkDP2BTpVHTA/mAgPi
ZnKNAkZpvNUUigltXPSklddC06lLlQCoPFliXITxmZxbvn1QO4rKnWm6zqB84xl0Vn1Hj4ZlTgST
ElDo+P2eVUvc4zGlU3E8pWF7PvXihr7Kx5YhJtYNF+yg2FcjjmXdvx3zeD8NGZ+Wr90FGUyOsPZv
/NHetzHvUKkFeNJL3ASJ415whn/w7eHWUtR5kQYp3kKBcGpHylfmIKehji8Cyb32JR3V7i8H1Tjp
E68l86OrulF3lkNnloNtES5pZw37UpgoKu2dNJEEuUno0rwMo3mrwywuFUCSSTPdI3Q7mzgQGDIj
kkQ85koIxILQqkyG+WMfeX1U39dNdqa7/SHRtR1NNXddToqxF77uVfqwK2tOKtyw5DlFeiL0+LXU
MxJSSUo23HIQumJ9RYzJQbkvmpXGvGdduDBcDIor4jKLd7ldemMDuVIj1SmfuDyl1GKVGP2x6PCF
aFWrrDsUwUABN6ACNVF4C3gmXemTdYg799m0IM2UtnWrWQZh+ioGFEdIr+fMuyzkI64O5yXQq2vN
zdepHbK/lay9hoStCzR8m9HISGiFQAz0Mc/ifuvm4FpVjK92RhAr0JxD0of+JgiEWOOqOqk2Odkq
QL2eNPurFtnJSs1TxgZWiRNfMCCKUGV4kq4TgmB1O3MoqWY6PGr1Jo966HRgfJ7LUFxYRd+vioZn
RBR9GcL+snbDbWY632aMCauW0lGEQ4XEa8XEImpMWAm4mbIvGVHi4DBrYA9aqy9WbPP2plPfuBJF
WUso5TwXjxQdQVs3eh2Q13zv90Ap7b75CpGg8uau5qyZXoTQLnWolyP0S1ViMKmBOktnbYXImq66
1ryCennoXIFiqgDRjKFpOlA1FcEMrZagTXPAF0/h5I0OgzPylbMUJmcs4ZwJHmt+m/neldzOarrL
TNDpQ3zkfuBNgPCZQfqkaE4Be0tWt1fyTWfjdR7d9jqHD6pazZkCL9RQxtuciYwPR9SCJ1q6Rr5w
+B+jRI3aqYVZRuJHKc/QyEKCJM0VrV3wjKW+qNzmUEtriS+14ZhioW15EoE2NSXkFNIpuFOGDPMM
AFUkwy5/Q6JKOCrTOm1HCjNC4AadWkiIaqIQ5RgkWDUYMW9J1Oo/u7LvZn52UH+/K7uG5fj0Ly99
+qGjnx/9Y1+mqf+B/wBEm4E09ktp2/9zWq7xjzRG4bjpYYu9B3qCbXHQI9g1GZRzgCj437Tc+o+D
yZ8AAGWMFmyX3wJ6GupHV4jcl0E3Y/hr6CaWCzSkj/syWw1U2PBmgYDIPojRL4/WAc1tHHNG3SP1
oDTirIl+7rDKaXTg5OFD5tqybZ5pSbsp0uLC7qpdbApa2P2VYlBSRqFMcY6kT29gVN9NinHvuCVG
PAlwxm+26qfkxqp9MJ7c5axYrJJFbF+NdAgFSPVyBpvC1KB/yxwU3GrKBSTIfunORk+hONgrLJU5
vIMWgj2DhTkm5aIG2Mfxkc8+AGFXMYstS0u2xAF+MU5MvCeAV57lNuYyHNuRhLpy2xMdsONpNWgt
ASJ8aJ5FBJUNpPls8Tq9Em4A1jTWgK5n06WMnJ2wkT27keusJp+xAgx9iZoMd3Nu+DuKcIlew6cu
KJnfYEJP96YphnM/CnkYkGRiuhvfRhVuG5G2FBMH8WVBFN6MybEPs7Fure6mjirLS5Pq1rKDSwaD
Aw7y4dwYo2qtV363YCDRLXORys4fhRkNM/1FUnUHjAPIfgCe1wxGNyx0Z2au3WVxf3JjBsL+wMly
HtStrYOgnJLopVf1Q5DPF3Td0duGXr5g/ktXifD8rpDExfK8C9kjlQoIHEJ9npjH1oM9TbyqwBJX
slYuU83C9WVdJT5DI31gAqrNwaoyMmc9iOK50lg3NaW50PRhZVRiUygZpMvoUk27va7PSPxGQ5Mi
94zfNccq4mHnJLw1CkVhKwMCWYORnb3gpiKPYJsYS1sS0F7Vx8WWOullUgq4U+KYjEVzmAFd8+mB
hGQ7dNIs7eCWabGqp370jIzhupYw6dBZZ7Cits0qTtgvpoPPWLW5GaFkrvs4PwSG/zhVjCJT4eDu
0K2l2Sp3RlU9xjpTRpXS0KlqKSaJgiuMjufqmC3nYCTu6L7UaK+o/A3vYWPtgioCNG2Z523XXEZF
U4mrorDT+XUaUwanWbZ0k/IuoeqEwSyjPYCYh7xLyrO4dR+KRDm1Zv3ilIDgKdQo52Ad5NaybOgs
bgmSKNq+SMOLqCjOxphuLYSKnkLeJTTYbpP63bCzfPPbbAkQ8THuwk3U+Tb1KPD3rjVrPgRV3Wzo
lR7WAXkMDCYW1zU2ZVpvBntuaOQMt8OsH2vzoREqU57Ovc1d2h1iBjwaywpj+90QgmEo52M3E1js
I7Qss7viYbeoh3ap4Vwgko5K51f+UW9aSnywtiVOuy+66ERNgEdR2vVcYj6FCY+mPDKc12qIHgaZ
+40bqPghmQiv9cTaAPIJthVsfRw4ocO8UtqGO+6cvGQznqvsYTJUCGcU97aRfytq5QXQeuIBUrqj
4eb/2TuzHrexLTr/lSDvbHAegCQPIjWrJNU8vBCuifNwOJO/Ph+rr9t2+badDhIgAe6bDbuKkkid
c/bea33rYCgJOk5R6p4xs9XkyidIJy6f7VbyDzCML0ivZJmQ5XMGYHEBfk45AdJ40yZrWMpT/9bW
81nJHK7wnpRbLe+elCJbCR2WXmRd2KkgEiQDPDfwfbH1Wl/jx7vPBwq4pM/hHo3rzi88uazOTpTu
ZYLmwPV3riH8Y2w1kQcLflMA7d2hkbm1Wx8hMfFjGtHcimyo69CgLpiEAuF/iIelkNQLiOnF2Sqc
K2OsN0OqR26edhQaKf23WUcUAZBhrt14vFeS8pIa10skvoQC31AzAlwy0xSYP7Mp5yUqrau60a4S
PhP2AYXpf54uCIM/AxJhJk3J4XcJ0zsftkI3kQDLsWKN7cbiCJM6i7GBFMuvs+1EeMY8ZjUCkAXY
WMw26va6pGC/gtixMdThasgZAWYceIMCE2dr5xtnQMLNBJBw9GJAyeMltrYPHSqFNrWe5HqCV5dh
Vhl05IEMlaVQXKuRvzaJInWD0GyXQ0Q54gT1S4Ku3ZWIOqsMi3g0XI14xyqempJ58HDQ5Tp2JU2s
W2AeRlIe+4KxQqn0p6AZruSxWFItjCvDtPaFcDZQbfubcBrbVd+qb4lDf7O2LGJZyYqY0kn7s+n4
ny6XRt/wl+ep/7ICaPcS1S//ptM1//BfJyqOTRyobF0mcYx+1vcnKu0PxLqcZ2ZC3Y+dLusPB9kW
xo9vP/VVf2j9gW1yPgjhCVEoWv9Zp+tzn4vLMw3huDf/0rlt9sMgzkix08R+NZ2m5l7gbG6n5p/2
W/mtRD1YEN/BzMofHs3vRn1AnelLAJwEGkVQCXrGFFmewWT+N4ODnxrHn64zd/S+uw7qjRLuuAE5
h0VKqQ699frdHT7/2fz7npH2qSc4D3N+fCefOvqBIgDUQrDEAGEtOv3Wct7hTGOoOzltt4QV4tbd
Y9lu2ujckJqsRG9xuArQDRWXTQ6NvST8k0RriJtIXgL9so2vexbgwcl+81Eo6g939edX+ql7SbCv
j3Jg/iy0pU/HSpT3LQ2HQtFP/Xy44kwUje8WLCjBH20z+s0o4kMB/q19+ucLYOBumDIfmoEc/ceb
QSKW0nSyNZ7ojaFqVZwqPSREAjTEq+minK1DebuNaapU6NSNtr9SUrpxfV5AvJGlCZqswARZ0qIg
Q0Te9Q78kHWaPaiZtqMihqakSrFyO5B/stYSJyZXGsFrHsfLyqy2ZTsu1E5g3hlxVIChmU6dGS0z
QMOFkGjiTOuKjNlMPcOUWvktkRckxdQ3QOMhOqTITU2vg4Cl0q6kEHGtKV2Mcekl6ESwnXsm4ttJ
VHyIitsq7cGS50jYzSge6jhbjIybRZ/vlUa/jOOLeMjWHb3Q2wyXfanhnSgAz+qmp3PEjWe8lhEF
ukeCF9FpNnSrIkkfwRoCCgAB6Bg+0OJAP/z6Yf6Yo3y7QxRSP37xP2NESAkFozTU00leaxt/Ox2a
e21tb6tTvVAOzUa41dL2HHdcae6u2tFW8oZHact5di2vTZT28cWvX9D85fn2en5+ZLUfnxg9TVsr
mx/ZItmCOct7mM4LsUL69OvrzI/+r67zacEjmhfjTMh1iIBOb4ZXMYsxXWy3pv+bL8GnWvXnL8Gn
aZnD66o0J1JPoebGHPkxF1FDLXpO8lQop/53b+3frYBU2JpMHiNilM9D+8zMBstKNRVEC+iS6ZnU
n19/dj8ORf71hr67wKfPjnRYixGgqp7qzmuNBIK2Ww+/EyP97iKfVllncDgj2VzE6UgVYhJxo5pP
v34f8+v8/Ax8/0F9Wh5H9uoK8bN6YkoIWqrHYEfVeXQYkHxc6P/06egieqmKunhv/tv8m18KaIJR
EDb/48e/1n/+HaDnbIX44S9oRLFFXLZv1Xj1VrcpP/qngGn+n/+r//gvF8UNus///l+/vKJUgUHe
VNFLw/by2WEh85n9/fFoBSns3/ky5p/6ei4C58Tw3bA5GoCeZ3T9XadJ/sMB3MyQj/0Dri9Hpq8T
QIt8WHgOWCVmnO/HcPDruciA9ETYGOgIFQ3i7Bj++imc/7z5fIB/K+siv+aHh4QF0lHpgYEVnnlO
8DM/dZqSDBTg0PjWEYz3LmhEl180vToSIpp1ZQl2N2qntd3XtZuFWTDcFQ6iWZLJCbVkChE+Dlp9
nYVi9MI6T9y+oSdAxitmPOyJcq56hYLBo3DiZw0pP31hFJWjVAsvn4wjuM8Gs6T0WPTZFXDLe8Sx
SnLZQJe8Bjy4Qa5NZJw/i5YhTciRhJCdKMiF6AQgRSl4HMsmPPvETZjnMB2tM0GROC51UO+kcfD8
FB4p5nJ+Y1qStvJpi/fLelD85iQk8lvvWuY+HXFn/X2iOiEoz6TYRGEcj0x8qos+1nd9a1wRRjpC
Z8vv5Cm9aXX4dEVYvqgssThPcHw0U+RWpIKDsnoO8xgFpaQfzVa9N4fhrg0jw9WYP0qd5EkZHecg
wrChlyVJFGMPFDEnGFrRw3vV12zMosmTGhjXid2fMD1AyZeiV07QN1mrv8l6HC3rjA/FsJtLS0sY
tQyQonp+P6qbMnkatYCxTB9t5Amjppj9tllq34hUUVdFTqp5rjXSYojVTdiAXu66ygMns9VCLV4Y
1E4gBKnNajnJl2pM6kcijzutVC99tSVnUwvVRa6rmyLhPKDaSe8646BuR5hWlPzyq1w4nt3WmSv5
hr9MrHqd5c6XICz2pmPtaw2AP4m80kKbnGvLB9fnhDUyaOnVcKZVKg/b0i+PQQXREVKpV1ZExmc5
wSW1X743BfZMM+pRPkvZSx869ApHBOaOgVrb6cBNz5NmHq9LXaHd1NjFsTFiiTGlf04dvNSUtIsg
VK78UsK4xgCHxmFluLBH65lm6lHHP7SxCs0oaHYNd7Cp2xWns2g9GKhiTVkUS9qJ26wbT4Mw7pW6
ORJMdIMRJnEjub7LgvAq1MPIK+V2rQSmtGVGoC26sLoaLf8G1OLlJFq+IkpUeqPSBwsnimiOVv65
9afNSMj3Vhukl0pIoSfrZbIeDWYik+Kkbt/SlQqMem0jjEGlO067orRO8VjAGaMb65ZtjqcAGjRo
0P5Ags9rSt5Q1Nop54vowoxLTnGytR8LEIsySvvFSHtL4Qvg6Ur8hTiifjU6zYnYoYdOCvEO8GQt
4jEz3bDV3rOxnRZJWVy1U+k2rUV6AudWyxomGlcF8Mqku1URy2wknafTnyeIdRq9kfYzMYuxHoze
uFYxMm+7AqZLWqlbVAmah5sNsDbHc5MsNFq0ur7qRXyKAtMzpeQqS7tjgDwZ57cFiiVOllHmnGmA
iJWZMr7uyx57egXEQ+TmTa8QbSNX8ruv6k+ylr7ImrEVvcZYKWgYX0vqm15Ld/Wcyppl2V0GkwxP
UXs9jo2yjszssRh1rB3FCNGGdIFa31n6YF5qsV1abCFYBcZQPGt9TlyhIfiWW+WiNcSFiSR7OSUM
87vpudLUR8GoYOPIcxqzY52ntgM/02BZ0CuwJibRCgsk/C8EvtVb2Wquw7yBxYj8GttEMdLhSmLW
Wu2pNPXrJpvp1KFNzF/rc1Zs8ZHHZZmT/ycfu5aUOKzdb900gh8xGGTGaufRzrI2SZITWQy3ZOG0
AuuZjEAAouqL1PFNVmpd28h+bxyjwYiQIYoB7oEaepoqrnq0t7vRtpqlMhHeG5EPpdkR5Yk2ehE9
ccRQYXmRWf12zPwnPCiDl0k6sDcLfutAUrZbVvGLaeUM/f14Whq5vwp0bdyYeSW2RamvklCNvNAy
05VtU7WxHk7rPBZPlW2s8kqChumvCybEl3S3TNIWI9pYNcdIOALOapBy8jGIK700GXysaAduAW0d
YisKCACK7TWyDGI4ETK7fjeOu7BtXxPSJ1dh2Wg7tdRi1yinlkSEIN+EeT7dTn3GvelHaWXY4BAk
ZsmLQM1YEZtuq0EPW1ACEkhhdPsgdXa+M+2laMo8W2Gc7ifTZZX5kG6sa1uyzMNUIywI22lGOOCP
aMObHH8OG6KSruDbk2QWShVehubFFBnAXuww68GGYjEqQePCcBswGYTnJgK64U+yl8ByxwIx7QmW
OZDb6RGOce4q4hq0WMhkrFBPkhd8dIz4xc6z57T20b9YDqoIUzIIPTUISbTHpW8GeM8nAWRC7u+U
NvlSJNI5raLrhEwtF5eouYwrxVxUevmWktsRkHxFcptO6kyk8yth+Xp9Kj+W6OgXXRsdfactVpAL
O68XFaYTPyFmixSbeIiDOxxeZG36jyaz+4XKV9dKs/cqax7R9QKba47lBxKBkGofIetScbAlwCO8
awsb4EcE8ECVpEt8UbInpdGFUho+eOtkn1acRHT2VEPqWMAU5W2wa1in/sH2xwzv6LiDK+zMkXY4
svL7bKyOQ67mwP6zjFBQ3eWG7kSt7I00e5VK+70fUCuYVMC5QL5Yx28QQFZ1WzTr2iqXdcm/9oV0
J8fyYQr2WcxovLUwvSRfnDZ+DmsW306SocRaW/DV81OD8a02qx1BVggFEm5PRpcWDNF+mHieI19F
haHCcGIUtVAN65pcBP4zC3iXwWWtUmWhyzQIMPtGa05uT5zAttFQrAQnnYXWmNicAEq1JdF8goaA
099jOdoP5VCgV473CSKptZY1LySK3weWT1RLJo6ylZ3nQ4yiseE5eQBXSMm80daO4CVuq75H/VDL
dGhLcS4j5zAiFPE0U1y1ElpYKzYU0CDZGgYuMgh1Boz12YJhtr2osyzATcRXJ5+gfGgVCphO8Nbs
nOAhzp0LO42WUk7TOye4y9LCXT/G76FiRKugt0+jEq+LaV07JOXamGFzTxkOtpTchOmcM6HrmQsL
Zx3HHem4FgcZbXrWbNysffBMT+egq3hS8P+E3CzxhdQyLIMqczU24q7a8/W5CUZUXMgF7pTSWgwm
ptiasn+jBelGhRaOQcjzba28zM2KwQX1n9kvI/o90n3YFYXskptbVzvAHz0TiKjv7G5VpJ00Xo7c
nVw2IsnTfRASwYSZ1rOdZIeNjVcBR5QQ8Wo9OQH6kUJaSXTxvTyR+lWkF56eJa3nd8UDPN6JeHX0
5t0YKMtUjW+1Kr/udXNYgXR4F3F1r0eWAbxX4Z1GzcoxnG1o6V/gh56HyMHpajE8CCMy5Dh31W6S
6AJNRacsJHQ4bCcj50KZjQ1zFD0fdb53nM1bh9ghJzyIStEXKTMYDHzHrono9FkHQJXOIseNpIAA
qx39oEwjp5uifGZvgRGfMvDN7ds6wgXctPLb5Hf5eoqx/o2dvdG79izMCRBXSL4PpcSCc01P+yF/
rfpsg75Wcg2yiFaiNg+6SK/UpKPEY7RiZEW/Yd09OBBQrdFgszPqetN2fKNjlQsaFZwEHQtercBu
qSeTAIl4XcIhxR+ePCUCZ2V4Sso5AmRc9IO2NSo6aY7dHaUaQl1eNqfMiF+pT+EmKKPbj9GxCOSj
4TBezLujjksRZZg0CdIwpGDXycV90gfbJoweG6u5LZ0Co8AkY0JdD6Z1DRrF5dyLGVN9ikpl49QS
K2MWbKfRmrZxm5L5F9+Gs5LE4iy4DJsy2rMqPOlZgYVv6gL6dfF+CJPCqxkeuWM2XfTdqLpEsTyU
nQy8JLns+/xLUtok+wKNzEbnMcWNGGnhfdYjufu/UtGv34oZUlD/WMH/v1zQa7/Uj1xF3Rvn4de3
nzsB8w/+VdPrfyDMwGw1Q5ixInwr6Un2MS0TbjHiDRmjAi2ZryU9EIY51MI2SWnVZx7kN/GI9gfK
XLDFUMD+RWH4VML/qqT/6H99a/sYs9bYJD2IfoJpqhrY0x9bjKEK9qhrNfWiKgQAx4OUYh3lHMiE
LSNDXI8Tvt6qlpAH5yszEhJRozKOisWwMDJIHZXTUzv3j/tskLaGkWsXLbBEr1frfJ/5TnaNarA/
tYNeHvKoKV6agDhzNeuTa13pqz2xx07uNoP15gML3BSQZFdKXGG4tsAzPIX00h1s9Cz3FbMC3UnX
iapAFk5z47kjMOZd0qLpSq1NGpZOyGkPWTLrqA3LsjRJqFZjpqdynLlRaCXnLGv9GxXr1lWLeDC8
lmMD+Oo6tRQxbckIBToE1dxmY4LxFSCV0Wm242TuiGEi0Jy4g2L8gsm4u6wqoEqErVaq7vkThvAj
VmKolUYk4lspRplL4yGxLLYDk6Z4X2kj3NwOi0jSttpW7zLKAFVVPYvh0mxOtZuS1JA5xIiNyDH2
3ZxvBBCTqCMWZLLoPwKQJDGHIY1RrmnrUanj7RgiPfKKSb+alJrKVu3IVCoIV2riNNyVJmbcCwPS
xdYWdtRdTTFxo2NlsPm6IQ9mf5E56ZhL6/+sCHxFwSQxtPn7Ft+mzQixeG1+XhDmn/u6IKh8g2ni
8V1D7A8nhybbX3Iy1goAQgZX0v6V9fUVvqL8wUSSdvM3yspX+AphNwBnVZ3J6NfW4D9YEX5sNRv4
QNSPVjl8C6x0cGB+XBCaliACqzD6cyvvSICKx6ui/vPp+Ns+4p8owG+rDu8CKwPNB8e0DBYf3u+P
F1FQcsZxUpdnrWfqVS/0D6pFqKm5dsZXJ7oZ6DYkl1MRmZhiw9B6qAJLTS5tUqfdEH2WulPNkk57
AR5iOIC6XJpatJxwZDGu1dxxTM++IXlpIW3HGgWAKK4bGZ/zGGKuFdbVENUbfwQgG2bDioVJ8Qxd
7KSyPxEw/JyOyReJDJS2LLdkQTwwseNEG4XIC+qlreJgDHHKKEP1zvEeuU3Ue6nQrXUkdDRWwLoW
jdFvRMcxq7XiW4ucWa12eXsPgSlvZQeOmaaUOzHkb2nthEifEWWM2Ztfypw3sxKuizyQ3FJXK5IT
Dz7cFc/OZ/lrPzNFLfl5qPMdUNSM/k5+0ynBzlfV22pg6Vaj5j7Jxho6Sf9Sm/pu1Kt8JeLyIg+H
3nOEpXlEmxmuX1TXVYSAwtKLZhmM2kUWYMxoau0y7UmPnLr2QYq11dQjnjFUC/CJ2rzHFkwFO1IL
FujinBf63uorHc2vQJGVCCASMtM7yufAHeIWB2HJMqp0YCn0crpXMoaH3M5F0UpXRs+8KVPTmz7D
Be/YyaMkKp0BY7l1lCY+pk2vuIj+d7UUsQAq8HVQBx6C5kWLi5XTUh5lverqg6BISfN7f8Jv7Ati
nItA2VU2XPims9aTZbyUEVLvfqz2iORe7JoJsx1H73bGCTLQ7ckTjXODo+Ndj3pXFtFbJOiTsb5u
QpV1Xxlstwiyc6fWz0ocy26l0xmF7bhNo4SmGHHCkT3bQTSQbXrdoJOTZMc18vaMjPm2C1rCWFLc
lVpYze3b62BowOBbQevmPmJ1ncwMbGSEuM1brx1fq0RFIgCnKnC6+0Tm0BqN5nscO08ooACL9UDm
tIFAdMkPk4s8S9HPxFHpsq7cBqO4znWj3IWJdgpSy/LCIux5WIenLgalU/aiXdo9nwck2EfitW/Y
vWKMMvkbO7K56ir5NglSjuogiQbJjhCyN7RwpPdGsh/J8kHBDDLX0hQa84OPtJ4cG5Pgg0Ybk235
gaojSkD4m5JPw4F5KW6MoJ8WxKjwlDtpcptwGtoaE1ZaU+tvhFA30lS+Zdh5oqRMF2lRviqNoDNL
nwZBOA2lpG/2bRXF97reEKQC2bY273JnOazHcIwPWUHJJklXVRs7Gc2/VJDWkhHt2vU2xFsCASsm
j26dQpChqwHGowQDqF3oJOm6Fl0kibicku8mMc7lsS6sh9A23oAjiAXLmqAxrECwKMnCGvearX+R
hnYPF2KXGe1j0OoEykzaVZUry7hUrgpF2/aKdEWsjWdKwZ2amI81ieWFIsOUCc745s9jFl5MdbOC
vuL6zvhKvZJSlsVeUjfJEpSJmwgCbeqqQdQPqrrsjhbRoJVIUjrik8egoGdQQqUa2xLtSuk0NtVd
Bsp66as11ItwpYrhXqrfjJYnsTOtlabHVub6ZJHirvF7QlnjdpSkJTJN684KugF9ZqW6cYB82LDL
pjwmmvaQFbp0PUxiaXV5IKMKZt1aJIVejovMmLR1gzXVtVOkabaW3SWiXlVN/9D36R1SyUdsO9ol
mRzTmQ1PrKpUfBGqsg0r7XXw7ZOYSCNInWAOCsL0RdvLi0SH4zhGL4gQ0LlBhDpeBFl4HQXBMw13
ye2TNt1X1ErLMmsgFOa0Wgksf8xV7mIf3kRREXuOJu3arn5olWKi06ZlK3+mToL6qQkgYu+BHM0a
0EopIKi2nE5SY0s3ZkzXchydfhlUBZVkpdf3cFtaT2+sbMO32fZE2ni6iU6nU5p+TXMGPlVWjOs+
BxrTpSWUmYamNV0oY9OnjrKpk+5sJM0VaY9zfbaOCQ1ZFJL/gq4vRliq3OBoeqiU4TowKnPr6O1D
4UAj04PJ/w0mYR4Sf9p0AXHa8447W6LlTzu7mbalaquiPRdgvk3lFNs3Jq/aIJ4o/h2p8MdTxLzB
M4ZE2q4AJIbhZs1j+e+ER3VdDI2KlPhs+0s/uRMjSJq7745W/5pOfi89+t0l5n//7hKkYadp36b9
ueSLOeIyDLsnvbz+37iI46BI42ylIHb98SJ1mCRDnPf9WatuRHEYpKPUbX99iZ9vCx/Vd5f4JCBo
aGIGij70Z1BHmVhNFAacQnLrSzz+5ko/yTzmm/LdleZX8t0nloadkZkNb0bAIFNypjXqrs3oHSy7
bDcBT//1G/tJUcDlcN+DS5A10jTmbKLvL9cEMaSlRunJpHpQEKpa5k0Q7sfs4eMy/6f1BP//dR9m
ZMHf1xqPuDJ+rjPmn/mrzlD+QJ7nzIYQboQ+H7L/qjNUmgicwVEYmDKaAUqQr50HG5HlbALHM0w7
nrCIb50HxAmKJps29YHNf0Lg9g/qDPUjqebbevShtoLYQc+B9CoWJIcX8cPzUfVxTvdyOJWNLy1K
GyOHX900aha6sTo2HijR4ibqlPSkNll2Xbd+tZFkBS0htBzGkfCKnMKfh5jaUaM4IukXAPdoxci9
TQLdGVLsQ9E9O21f3hQjXsBEpMPZgb/GTC+3XKf1ixu97i4qubUWDYOALgqLUxbMbs8+D67wdWIP
owuzDIBZebWi3GaMZjZpqrXrmKAakK9bbbQ5OrbVatBjFFOk2ZxSIiRdErmeJNnsESbYd/mkRrdM
W4uLUB3zVTM51AkJeU64+NRTpND1GOTG2QhsraegV7EkZkgg+5LiPg008nVz+gRBYD0UNfNSHeAf
WK3s0AqSHh3psSeGCwwlPZDCYGYVktze6kzVA0iIQbdLKmnfFfYdn+ZFUfgcphuSkwqzzRZ5Ej4Z
nf5lMPHqYUW+D0RyT4MghQ4W9Ixno+tGhyulpRLW6xy9vxkEm2RCSiCZ2ZsWcGSFfb0zK2wizZRj
5jTieNVIRrAKfVokuTE9cqPZcs3ymp3vqKfjs01+h+anNFhK7dUf6zO91u6Q2EDpMC/KS9HbRyb/
4B796WgU3NIGI68Y+3OSac+qVt1PffIi+UyqizDcJelwMmHhLawSSp4ysxGlXt1StBhu2pKn0AcO
6ZEgQNRMB3NnHoCT4z+wNH9hKOFjGUyXhLvuY8GoXxomaCt54ix4PohItUlAPGnwMbVnGXnMuLUa
BmpWGOwxJk2ZWylV4KV0jTnAGW9SnawYpVOqSCPGdDpKvhMbxEekO2SfFFsGxR+H5INmGTHUxS5e
+LKCit5ggDMagDyFwphEmtSryjDA/dkVVoogwYdT6pSv0chgG2MNfbOVLCfA4ZOJD5mksa001sIl
+0LBVmRbrsyTqgXlVZozle0ifTvYznwGyuSbPPSJg9CheRNkuKiMmGLAMbN5QMjgRsaSOfpv46hu
IgkyXGIYN1XjP6l53rhWorkkChw5OqfbXjfMRda3Mn4FcwtSUD9ZnAgXg101ePojczVUgLOTogD8
ZxzkCKyRgz3ClZk0Vmkb7ZSx2As9ZS5bRNylxnFT7aFW/JPUB6se28ZKx4vfoGIGqZmBrIdftAhG
6jeRPoepsbILRAYqX5OytIaZrPlUhvVusCgiE8kCghwpyikkLdzzWym8iiGf7nKdchQK1rETJDCS
Cb5URwcfdN7xnOPxwqA1XNJewwqDzWLHdmkvWlX1N7Jo9KUNNGc9Bky8ZEnUmNnzfRDKABKDVtvV
ZjDtRKxIa70Q8rIQ5aWJs3o1JeNOkoOHUsq0sxpHoCWx2W+lSHeIxC13Ery6YAj8JeqLRwHB8b3O
8RaFfI0vrTh+mwC1MhJztKb6c5v+z/5psKH8/f5502L8fPs3Oyg/9XUHpUEPNYbTy5z3Nrfqvu2g
H+mKGn1k4D8w1Gfqxtcd1PwD94BlodJD5w1imX/6JseD+KCwc87sOvKPlH+2g86K8e93UC7sKPgh
sKXq81nr0+k08IUs8qwgXzFFsDRE7VM1MppNEsiaLDiAFdN7LMeROxb+RVTZvWcAJ3SrvDtDxd0y
95cWtaEiLuqER5NlH7bxBVMoSks1umZ1ee3kDupf0UHqlHqqx169KCa6Zr5sBm5Wl6d8kO/7yXxS
a/3BEZjDbaDFKz+lqHBIpEiJmmUxD5GNV9LCCtBlkQh/h/XzqRyL2y7EPV00den6pnlX0abOh/y+
caR7Pyeo1LROmhZddEl4ALH8VBc2AhBUMpVmvFA22suMNwadPzLXqlrsqPYes1Eel3qsTfzaOXQy
7Te209+OagmYsOlXuj5hapvpkKwrKblO9qvgXOzZqXmoG1pR+ZS4dgABK7GvEJO8Ygk8461DOy/g
IcsB6SF+3x/tsntA+fYCY+DRF6h/i/xFZ8snM7uiZ0Gg8qZmiB6UDiJBGpxx8ATBp1uWqV164DnS
RV8WL73iXDAtaTyUB3AxVW3yRh3dClUwVFPFOrDTAE32D3mQehOo6xVhASu56neB42wC1bgap+49
0uM3dOI3WhSs6fc/ZAGCE9niRXKTHLmCaNyjY1LlWGAHFual2dUXiOLe09gpyCKQsXT6sttWSKQz
Wb3XA+NKb0Yfe2Ryowfqe6ua3XaM5h832nala+1DRvRyjbQRdY25apuWfkvbxGuShB4LhkYrtWyP
amigp0rIoCXgy1jIOklDU7KSLbLKYZGtRUNMAjFXRA6V3DU8akRdGKb3IZucoRlmVNdrvy73kU8y
+JQBsaxiHxt9P11ZqUHVbaxaoQsX4R7xXAnbq9xAbrWnOvbSlifOsNBj2xMP8VhzDzO1DJZ9NV0T
m8FVc3sV+N3Kl9vrydZ2CAa1haWmOaAGosWhYiAubJOXphgebHrEVDDls6wwzs0L3636AcelHG2Y
70guuVIbOZdiT7JItpBB5JrkeSsyY6lalpxNE/Yje4v9lsXiYA+QikkzKZeV02zNYBw9FeHXMsiG
20IY9HKR/vA0ohnVmue6dUq0aqht9AmbZjaY6l5Hn+mBfybKIP1QoyboUlFZwheuPtSqfAwoV9UG
gujSjAxtZX5oW8n5ReeqNyWaV/wn6F8VmqBn2oioYqHmhmdNDMEjHOplnfIILXQQsceS3gkO4dal
bbiQjWATWg5wZiFLbuAYw6WcSjscsJG2HKwOHgpKwskbbLMW29aSfbLYI3DqRAhraebVI+yLPsVG
aw5izalKfUh6WY4u0rzkGM7YSvGYk7/IQdvGbmKO4ByQqsx9RhIODbGMItUKbuTGSutH1e8C3wu1
CT2akDPTf0qMKNQvZBXJL1T1oS3d/5SbH6MtlUrv77fL41v35fXLz9vl/FNft8uP5EPmWTIFJdOt
eeP7q+AEoYBKk21Ppz9qmd+NuokpVk0G4yYFqSXz49+2S9BWMnWoRZQikyiaL/+g3tS0ub3x/W5p
kH9lIWFn1A0Ni1fxY73pt1EJdiQaT1F+1kaLWsAf+8XQOLfDpOJ3GFUkIWp+sKf0ii73M6lEkmtJ
E2rSMMVVjKpzYTXOrk6cEy2PAmSO+ezQf09b526axC1qz3fQuyvSh2lHg9RMy6xEPmTOPIZpLavZ
AdIvjGG4KECwtGMvC1DTpqwvyE26MwNzWmmFCTgYcDPHzZRt2HhIUusuGKdnybdz10+cDf372yRq
zpWjHyPbnyW6dI7IhSuKgdSNrkFQNKufpHqv2CQaDnm3yoaC9wwECnu0sNtta4crQBf+LHtb5aF0
j0DMhZS+QF93TO0AFhfi5NxCf+LnRBtPPRkw4AuETaqBRjOHA8lr4USnOmFdCiIxXk8MoyKyZ12l
rN1JDObCiDVaoXMKZMDKuHQk4zGbEnVJpWZh9ZXTncUO64leqT1p8NdkIs2R9J2X6o7hOQwa7J5j
uaa01yb08eVUGZwROpG4QURZ4Vgt9QKq2gI54GCSR3mr9D2ECNIOROgZUHzCZfqRXDj8GWMYzpGG
fjGb/0g5tE0Uq6QeyumwmeYYxHYORIyDYD3IRCRaH7WbodzqFuZJwP5vJXVcOgcrgmp9muaoRbPm
wQlJX2xIYYwgm5PJSDVTLAxSGskK2g+VBbGC/MZClSXC+0pgURYksDnkMRlxR4fy/aibu2yOgczI
gxSKIW7/J3tnshy30XXbV7kvAAcSPaYAClXFatiKjSYIqkPf93j6uyB9silaJsPxTz2zQ0GiiAIy
T56z99o4DW7CXLsR3xMjx32vTNspSYJdrAcqbvxgB+e0dMNaPcw9wZPEF5r7WZonZyGVUhog3Rvk
VBLficZx4DRJgqVFkuViY1CSy4qdJCw8e4BbMZB7GaONcGSSMAsl8FWSMSkFcf83/f2SZQ8Z2Zmo
6Kj5kvpRJlWzCNIPgAWewry5QoUUu1Nn7VJyONsG3ohcRrsA0hUZgWQ+kdmZ48J3lWR5xHS4krSe
uzneMBc+2KR9Im9/QqjfeYE6ohBbI0GzZjVONB+iNSy06rWWj5YeyLrYVAuzh858qm1GQ01vnBr8
7kukbcFfPYg1ilSeiWAgmxRt7o2Slb4pikvwzpdThYoEgZlyTNZg05qE0yUdIFqEflp8SdMc/S2m
jHbVEsereDjTUFHo81VsUBpSHDn22Kdcu31c+hZvu6E85wFiSV1OO1dG/S2yEJnIMN8ZCxiiqcxM
R23Mu6IID6DKnxYrOrEbXatMKQR1o2PX9hd25F1uAz4zzHqP1JoHMFjp9tMmSJSveqJVvFDijsf4
EbZAxLKATyEGkW6rX2w88xtq8qsywOaQt4LJJ3naXhQUupMZwEqsrhHMVKbsak7tmzRlXUFHUu+D
IZIpnMXoF4b9aQq65zSrrwJBQF5A/rOHeDpw87m2N02iHyqr1a4W1doiDYyK62Cok9uqEAjSVYWK
C0F0WR5BvnwShbjos37eIfqRNl2qnHGNJE7LadyfM6vw7bT7ig9h2fRmhJpnHfSR+WYzKmYAjueD
SZfOHDPQmuMigJYpAksCs6Kou2lIugOxr+6NRTuT2nUoc/7KGEgBlh5wUIukeWBFvSTKqVFMzftv
y/+hZnlT37bPq69N/Jz9fdMXr+Rta4AYx1raaepqZf+56QsDKz/2fjZvmrzsCH+dkZHAsEEDVbL5
wR9IpZ9nZOUPA5M03xKH6h8hl/9i18cC92rXJ4pK0yktVKqMVdjyahJlRnVTTFI9nya1qgS58rCU
TpVJsuM3eVkKnWF+RzcUpgyWl2VXGlTSNICmhLrZ0NKbQEGIaoFF2zViMKnhDeUz/cXWLe3gmRjJ
W2A6Oa8Yu0G9GIqv6nBW6Ea3p9IwvkWVxUw3J05XFG3s4y9QN2YbN5vOIDECCbd+ZEHJ91KRdQhK
MGLMLlsZHfAkbM4VuAPmlfYRc1B6ADVWeHR/Z5/gytU3z7KVEdHokgiJ3Qlr3lkb5gsK4KNVdsEh
j7PUTyUb2apNsYZ6g5hX8gdnf7LNaN3FkYyiInBFalZePTFzpTQgMVCTnjLmg5UxFRdm1N8JI5IZ
pyNCRuxcUfLP0rlJjM9jwQmlLk2xpen8bUmSjyiawdxpg8hBTpnBsdKS+QNC/gDnTQTCQy33fZR8
7cJFeUJYgcmJ44g/GBmZFoTuxA6LTM3HLewDvD9BpSBLF1o1yUc9LrptHCmQQ1j5jw34DisLk1u0
NgBs5jup0gun1EhoZou6Ng0cGSRcFpw5MJVHJTqhJUVcrsmjcKY5lY4iovltzk2kPw1ViJtMVkmp
DmbRbcP8uwZyabDNX0Z8d4OCwfA0C1QhjhSKFfaT8JtAxNhSd1mRNIOlTgH5sicMWrmTlD6L98qQ
LhfNUNiXMVzA2ilJpKbTwk0ILm0E4AiwU/vbIOz0qOCFE2G+3GoDk+D/Vq8fgWYrzPmfDyw/6G7O
c/Pp93y3F4I8ennQ6bV18bIhLMsvB2UyEl0C7VjhiEr7ZQnT/2C4TUIZwnbrf17dn0sYqxuiWqR6
69iJpLR/5bpdF6hfji22jnd3VQkr64Ko8ulejsnUCHhNR7jUOSIvqT1P09OL2/KbOfpv+HE2tmJa
nCppELh6Tdbpl1fog1brAn3qz/2ib0DsfINHcc6C5EZvum9UETRdmtjLNWC/Qir2NNt3TZ2wj6PT
NySDcCm094XJdK6V75I+8rW2+iJlYiW7H3u9gf3bpaOzRNmlGMhQPapDV6NNogfJ+Qv3TshNZGhV
55AVynlpaavo+ylqg2+jLp9UNY8MD7mx6WnwI7/UShZwfCIRU2tZ1ho5lB4TmFKQuLTPfTTlfifM
kDD4qD6IVUsB2fbSrAhSz6zm0W5CdSOUld+paeNVMrEgqErZ+QJNojM3BbnA8cdUUY7sKp5t5/Nx
DBl2ZUW5Y/6xwGGq7wI926pLfLKiUIV7WTDoG6nstelbnkqX3bRCz/Jl8XtSysKquzUTDAIywCly
ZlNZ2tHpuOjQ+rl6P19PqXVB0YfZd2kILabhZ5rPgRhG6s1kF9qS16fxc9eSW9eaGlpJa8fKdymR
EaODhIgC5YkMsAtcGLu81o9aUeteowynjG6ikaubpqp3BoE9LI/2fRIv3W5Js6smgCjRLviyY2xa
tQKFREouNEm76zKROspCqJu6aLexSpZC1E7Rprfi/YyyinMdMqogMbYo5QhhWiN/NXszEnzMdxE5
rNSDH4XFBeN/lwS7B430tzHSz8zdntpuuUxj7SbK4b30Qb41teEUjc2+nMd9OCWYaGiz5va4g0B8
jJTs1oDQ5aBmfsBXcy8C84Hkd79sjAtr0X1paj5i5gW73NlbSW2faJ95ypxP1KvLF47OKwLN5Vjm
qel0rEaYKH0dMnYkLN7prBb2MTFioWF+5C3wkzh5CgNsWVPbJb7U9zw29be5THbWatlWq499Iz9J
knzbmqtHhtD5YWKYpWefljS4TnPoVdEcHtNkjQHCY+1okgl4ynZrvH2cWimI5Tz/ZAuCqqUqIu4P
ceLJWsWccWwsnlRhUtGN28TWHvuqDeEHgy/MqvXtScZbWSQHqcdFpdQjgC7Iv44k9JvJIjivn9FF
gZxdj8Jqu7Ez2qqKFgebsTXOYacYm1g37pnuh0hAAzJtbLrR2KrM0hkq8F5e3gwBvv1ZosGaxEN8
nprYONaVgQ2AW4HcsQrdRoJOl2Rl5IFBbZyslxi7L5zRii4gOtnCwQdkTj5UxhrVNitUKc0BLvZl
pVXtvsAG4AiVAahQ6nbHQDbZhHF/NESI2Sitiq1Y9G0wLfAgJ0U4vZZVm7KrSzTwcXZpYjYgzExq
r8EjEhUYVJ/1Zb5vAvXZTOsd69spwadG45zowDmTjkGqyBgkcZynhj65XVbmt6XeS+shPMgeegLY
xqGh6awYlxqwbFYWF9efR+xQ75VVcTBrkwURu5Mwx+uiR9NamSt9cL4I0Tdmar1JhsStlu6YJRJ0
t+gkZ/IDXVh4wCugB9BrMaUftSTQOYR37mgFBggcEtYCLFqfqlFSXDpHq8e/HvO7VOSjjz5tq9IY
cdUFn3NkLSmy5rg5LVZ6VpVql5KzLGqjdTO6skRsFyAhdY8lb6+IoN+EKqyfbB4+GFJ1R+HpUub0
mdcSELeZR1QFrDn9xSgb5cdiVbFOsfQN3KDszT3wUC6neQ1m4kvIlw1Og9RE65ZEw5ZEr3nL0h89
BDVXoMS5K3KVEzy750U/N8kFUMFzQQKMm2Fs2ZOEGTlaad7pdYkNUkvwxecKktFZCwIiH+o7I5jv
LNQBa64zPu++bH29D4VjjpPfzRYATBmPWDnXpZvxg04z6P1jE2eWP1lzjMc2HiH1aVGHfYzjYDpW
vmrljTfn5RMyjH0xxv5kzpyqy0t5Ni/Sev4gR8lmiElmJHHyQ58pdxaG58M0T8O+lJLGK4MMGH3P
PLyS5adVuuKpk1Y/9gYIhqqkE51GPOgmDXK0t+qjsnKDA0WffBCENopK5hhvb8+/nl8sTkFUGFhT
VduE/o8d6NfNmYE2x5owKc4dbm59Wva6MV6PTeu/fRmaqS/LjJ/X0XRQIYRr/b0I6Mx1vhIV5zzL
TrQsP7AqXVmM01ku8a/MNl/AnO0G0k8zK921SoQbX+FQURxYqY4QmRikp9c0w24MBt9q1Lu9DX0q
DL6WvUEkOa+AtlhnQw6f3/7ov/3kiHBMoSFyImjo1zuk530Zd3ZanMccV+VMCmXuRuU7bCib5vWL
Moz7QxYtaTKIJ7lDnHRffQ8tTM8ZC+ZwrkLmeXQ19yroMEcOkLwmRKqtyX6PEqzSa0J7vNmW96M1
gtaamW0GKiedJEcDufTX0NLs24JdqS+xGCLS4C0Z2cppkTl6GZ5jKb6YAmCHo8J7Y+Tw92dbX250
kT2nmP/pNMXbZURX0gpjE6FA36Sd+llqFF+faOKwKmGq1GyCLmt1m8CJRxDDxA2n0L5elK+xRrw5
9tB+RaxMZnaaQVSiBZ+lnSzG5CRH4PeXqY+omyBaRnYCMDUO74Ne5Hf1qLN/CEiceUWf0Ki6nSHG
zVCyxYmV0JtAJq9k5RLnGQOqBSuAULNjID/3mt/r5p518cmSODeacGznRHvKiFPcFMibIGQ3kPtl
b9EoPSZeMw+BPIgtKd81HamouZguenl4TmMl+gw5dCtjigfFHZ2UEhaZ2tZ+rNKdpVt6kzOIPNu9
cISxTIfabN8hc5G68pvngRfS4nGAOmivw46XRTPRNWXBv3VngsefVbsFIFsN2dlAEoJvI/oYtvRa
adO6woCXEAOnZ0U9cVcQwkcpRq2wPXXASMdFOeml9ahqReS3uV77fS9re0hM0OFxFzgYiK2NXGr5
TmFT9yCC1J7V0E/XWIjkvCzcWK9vwxxJiYhaIhxHss0xk+FcBX2RL2CWjGfkfLo7iNJ0m1z5YCjM
yNs5pAcgPAOorduQUoq5xHhMLIOju/LFMIFYVSPLgJ0BY5juUDEdTabSdaneIoLiCQFoMSu3+gCo
P4lu61i/yU2bsWf3aOEoRitWyhuj7qkF62HT9uPgWnqLJz2RPBmznycM6VnimXArW30SqvQoImQI
dQcMLiLHc1ikCS1WiWGi2cpysrdxiCslE8Jo8LS0k13LGg9mk3BLBgBtqIAZbt6pY3W2rWnf4tRT
R/lzjY2uMI0NwQqnlO5GOqSXJZYhszD8sdRAS8Rg8lEDKnZ8DYo43c/WsilbwmqzwMsrCprSCDmX
8DIOkn091t232JQCegeyq/Uo3To0/LRsPAUkgxDG0QBbSgod3xJn+g1CbuRYVKhpHx0lAepGjA8l
6rtQiq/0SIMzU/pKKh1ydvFoDHeWIK+5av0a5o691yC4CHbNLBj9ju29aPIK3XrNfDuVtoRwHBYC
Kkwbg8woQjIvZRbdhTCVBBWZTkYHdvEdqZ2HcKyPxHxS9XaZdJlVK5ovMy+0kOwG8D2QM5C+qVWM
eEzG9lKNJ6nllJDBdlLzTdmbDJ/GK0PfmKB8UOdhmzLgyWg7gMQPlSxhW5JPho6TZQq0YxKNKO2D
IDj0CmkmLfJEokuDYjsOi1dRN+zKGWD3bJi7ZqAKMctVIBygRA4a8c7W9s6bqq4qmheyZyWy58Su
0v5MKAr4khMUEncamGeMl2lzEpxY3t6Pfp0z/tgpXqwMq2ro1+tFBacLVoay/CrML8N0M9gIOB5H
bff2hVYX8N/2JEPTNQVOKsPNVfz78kpj29GOl4fpvAhyYvA4tSsw4k5vw3IfldAS02k4VFWMT1XI
4oQFVHeMpCQ4ZvWjj/xetxXSN022rqdCJWND7e+luLwsZfM2o3zj1IMdTFkt65NXdKGfd/HHArOA
FGXVTdhjwtfpz2+xwRz0BPOMKjazkNHWBMG26FTzAaDrbbUAClb1i17t9rGqHMgA2uuVfTmmQKjZ
tk2J8Y6CyLGXHCmy3KkSDzlynTgL9mMlUARghev0/HmRZ+ScY/hUT3bzoIRBt1FaNXznrv7ab/nx
9b28qaus/cXjkhpaETeBNZ2t6WO0fJqtd9JL3/v9rzYOWcqokcN0ZnZ7WyWMpdQP7zwWbz8Vxqvn
D+RhKqdKOJ915SrWhMNtkqP5hwziHz2c6134qyv18y7h8aAkFbplvHr0JrMdgR7xV5DjonSfuzGn
JvkQT+Y734by6zOOShzdnYkafZ0GUJqKVxeak7gYw6VSzpQxn9nUvLvMDzxpMzix++AUzsPecIfj
p5vYje6nzXO2mT/xRrc7df/2XVXWPtvrv/jFa/39g754Lmz68JUNQ//c+YMnu/Jmuu23+TVz9A2i
1cYXW+6zTyKAIzvRBj3qsNHOxee3P4X+u0/x8ul8JWLIiPi1lIb7/jjtlQ2qdd++Mp3LVnMib/ug
u0fSw7f2OfKnXXGr7+6ADW2nHeues2xL22k9Wmee7UnHflds20tSopHRe/el059ld97qe3tfHph1
fMj927c/uvreg/+qgpaUNs4qkuPPukNSkt9+rfzqTnj00j0kPF68Kfz8otxefT5u+j3MnslNLuji
XxBF5LL5bIzU+RK4929/qu/U3ddf64sbarzaHbCLDY1p8Kmive1E7rLLt8EdGTOpW4KOcgKncWcn
21rneqd8pJG2efv66+P798v/9R69Wm1YalBtV/N0lpdyY47jYZFSWF3YgN++zrqqvHWdV6uOFZMq
NizZfKamdobxszztRuPTrG5qmWysyn/7ar//qv/8q153lCVIfKpeJ/0Z6AInv5sqvP6/XeDVmU+d
0Gsa8FDOqX5QEvqAtum9fYV3vhhzfRFfvO5SXlmFOfOilRhC89SvFEb/1jvfynv36dXi1oqsTQYz
6c7T+q0smWtPift/+ztePWB9ubR90ebzeSRBIzbOCIVcIhbevsg7T5f5alUyglCaac6xG0zEgtlk
FmUd0t3eNfGhJ6NyHiB8vn3J334/ax6PWJEI9ms1lwU/Najirj9roMISP1XRPRvbt6/x26/nxTVe
vTRZCJunjrTpjBaD/v11nr/TVXjvAq+WxCXNJ6zs9XCWWbRpRqdq9s5t+r4/vvXiv3qOI7xFKMl4
jjkbONhDLoZdeuKIAMHajTbhZe/kh7fv2qp9f3OtWf/qF68Osfeq6JSIPeqRxnDBqsro18FT9SyO
y35wrha34h8cfQNd0LGuJeem26y7+tVTfaUi43YiJ9nMnbMjw2773sf77UYOKO/P0uXVw2rFzSiL
gJdOXK4bORL4babtC+E66VbzHgrnQnbmwzf5E4ez5sN8ABzwzuqlrMvTW1/Kq+99kFojqu2ZWsIb
PDTfi6MYjn3IvBv7bBzVbe89KX7gFHRs/WZbbd8PYX7vI5iv9j0c7JJWjFV3Rk3jQGVcnOSL7gvP
PPRfp121yY/mFkf1t/BJdadteom65us7z8l6iTfuwmuTcDqoJAcVPJp453zUD068VnX71L0b9tN+
D2vSWc6gtR5kSOu5X23NK8hoXr+J9qjuPmbvrJTfD2Z/+zx/ve76q1tiSdAvOSr353qjbY2tkXmT
v/jLMT4I53O4D3ycAftqR1PvOLnmhw04Pb6ibpv6t7G3Fgn/Kw7+s+YoLAn/PLo/lb/jZK8/81Np
jDHHUhWCipnKYzFeS80/RUf2HwYEHRninoFlW2e/+2nMsf4wIZzLDLuxv/2ga/+c2JvrxF7H1UqA
/L/OD1HtdVH960ni0IKACdjXCuUxTLQFrxbddgEt2es9gze1WI41gmQWvNKKag2hazgsC75GGiOO
pBigLy2I2uVplvO23/RxMjtRp8vZyepjOQdYHHKNkMbOLGk0maFN2DhZVkqluox6hgehSwgpgvor
Vd4ih0BhnNSU7Grfag2CSXvQjYlcDROeRCSVoW/q+BV6fDaK3DNlgu7aFSYi0XbAS4vhxyF9i5lR
KLWkQDDQL4CDFUa2KXMK9Vm+KWZ8FkIwysNJemAocijq4CjG6Z5Kdm0p48mpKuiP1T7LQ/w5YUVE
opHE0AYBSWd485wYawnjX6Lihml5oG94BRq0J4kUeWvf0nmcSPkirZ5+Z04eRjF/UdbEt7gfHjts
D3S0M/RNsu4BX7jCezP7ozGQpNnjq0Wj2LmquUxe2vEOy3OxbGYC4RxLVjYyE3cv6UVND2v4ImnT
ISPdCu8LgcN5IL5ME5yQXqenT+wnjdXMRWGEalSpyNJs7nt9zt2kHo/MA3rCSgcFaIt6K2myX5s9
a3aKdlLKaS41QbXXIjpOk1aeE6W8qesRgSVeFmNxI6ACNHZZ88x6w+D2kzbj6m1obHaq7AxZ6mWR
JrkIky60IGeCTzQsgFcwmd2UOE1Wpr41myAiVcgsKNR9wk+TozwvTJ3Dh74oME6gzt4S2Rp7khFe
TSaOEs2mQVl3F0OP6bSWm4cQsYWzUEIDdLvtwmljTBkg50kg501uQhy5OEe8lGkXfNgl3gT6TFqH
JgW7Jg0iVyYuhJA+E8uq+rXMRLsTVdkiSijPukCuFcHdKNT0A8GKhNjVzNzqSymqKte0UwbvmZ1A
Dkn8JMvvQfAysY2cXlaf5IquPwzR7TBmt1Oq74uwJr85iBCwWpGOkydh05SViNYW4hTVXuRdNI4P
BQIaL1G6hymAWau1WLtpn4cNvODIvkxaHa4Iial692mCcwpLfRxd+MlI31LEvhaAU7Xrb6EQp06Z
CBy2c7gPWy3c1R1gUwNWjhV+rPUWwXM8czBFD8/4VxOuJvcfhlg20O9psVca0QVhwxcA/p6LBUOz
HNb0SEpxS9/HR7h+BzoVrUJ5hXlo1b+ot9gWLM8Ca+XA9IZirZ1is5JcNWWAGWcPTGyKbSHmZ4xd
0y6dQ/CWcJLoldlugYvcU3O0zgQl47MGaz2vcu9sWqyDLc/klQh5G8pLcySbzM9HmKiBkuFitfnA
BnDRrJ0vhdC+NvAhnLKpz5Vp4kIKoosmV8Fqiekrab03CQNr7EgVGT4ZTqp2mb+NAyq7YSCwFumx
5uLxtyjs4GNnJgOtIEO2H6Q8OrJqOqnAaVtW8ezWc6kT6Bbt0nB6NqKOHdQoig3+81Ov1ychaV/T
blK9kjA0Qmc4QOid6S+S/K0ZtQNk9t28lE+FGWIkiGoIsfSjq0kc5KYefJLjBrxUxo02Kdo+7JgI
LglLiVCSk0jzi3mJtnOXHExbuU4aNJJZso+6+jaI6m/IdlqvGJsjpsLLdXpeWRGcrhmlhxyFxsFm
XWRtJDJyyFBxlv24TdLyocBo6JojhEJoyo4ejM1mDIkqiIfx3m7J+O1LiL9DUfHL45QIhE7ldZx8
OICyk1v4SOxJyf10huo/fh0bOIE4w+mGABiPAI1PK3FcgB7PRhjkEGDvm5VKroInVzT9a7TyyhnT
A38HYS635WcbpPkC2nwQPAwVsPNqpZ6PJA54+kpCFysTvcb1NUBaDlXCz6VwxCwFQJ0p0A1/qjf2
0eWSQ1gHima54UpdXzKTSB847BGhtf1KZu9pku61FdZeBY+RaZMfBMY9H7FNBxpGMTwvxcq/+cAk
aHEZKDHsmpoBD/r34uC/Kmm1Qv1zlbQv5t8AQNaf+bNK0v8wKECITPuz3vmzSqIWAjqKopCXT3B8
/qtKWksh0h0pKvA9Qw/hn35WSfofq3OZ0gY5IjWWofwbQxZl1asqabUvq+tnwBoG4/S7YevFOVFl
iIDwx+zoSRiRX5ZZ7E1lDo7telYI01w9VBFszY0WDXJET2FIx43OyVJsyEScC8YMc0w+K2DLer5k
FMbc3rH6cd3qxcTkEUJVFqlbUJ7kljialsUtlPggGRQiZe2y4C0xeu3K7Hu7KTxTrgbtMOn6iMFD
MGFrn2FzNtRqHYHtLWDnHw+vGKJmm7SVfcIAGaFZa/A3jqP2oYZEkDLpdWpeD8QOaQKdrx6HQzyT
vEAECKOOLO1vhJGOn+RC16s9yprw06A1E6swqaqs0CU0uJIwSUnXfCLgI6IqBFmz1qjO18JUgj2w
8fGUFrh7BYnXqBGrb+VIkAkYa6V5tuIYYVAH5dqNYKXvIz3p7pSxhoodFfpnrG32doiyEYhe6OCE
ireZpKk31iJnm2nNA8l6edKYXLbkhnQdIROGzPlMXjssfdL6WiWqilIxF2TaEmHC10QuViCTSS0q
W6CXjJSP6mpTjRYWXidVeuVTCivi0NdtuJ/TpH1U9VZFNqTArKeh7i1W3l/22Gy5pcWeWlncihZz
mJsQoXfCpW3j4i2jM+oLPLmzHp/11RZs2xkGmMW2zgujZ5SP1Dz2nNPUUMP5MzDs7EhMeHvf44/3
Wzsp3NXVhJhUZAR0RFA6ZhsQilj90DD1JDzXenulxmrlwacuD9BjiHPFfg0pnvrRkiy/1ufp26hF
2c6q8vBiKoE3IIY0pVMcGPJFHrdZ6ZJpCv2xQ6Nez1axrUIyNLSRp2hCTYtBS7GDi6yRjHvIgA+l
HClHRbKqSz5+4Etprp3aUgGl3zTyJZvVdJFZY7IPY2bfxAwnEOuq+SZarfxDO1I7xv0EnGYJ/LZu
29D7b2X94XVlKfrnlfX03MQUqs9/N76s04M/V1f7D5Wz5AppBr3KWvbXGRQjLMArlQVHg4G1Ip9/
HkEBSsiaII/pf2sop9Ofi6v5x3fiEkoSBOMmlth/s7h+t82+OoJqNuIx3C+ky/IxXjUzEpSaiokt
+jKXFy0AO9TpHychR9Zeb3ClXZXSqF8sfW18NCJtbHa2VNSkl03S+NQsZntvR1p5a9uxviAA6EcQ
5YXZPbRqj8hwjcSh+ErA1MXS/aQgnJ7CRUOmR1avMhlXFk8+Ur7LfoD5lc3PTPCelSjQnHi6MVor
J2BC3ioZIdLKjKBSpMZmGsCtSs1FZCSYWVr0nVj0WzeU5+e0RlBZj82ItIdGYisKQDiLRbfcsFYE
OzKR9QCr98glwoZk2xH2ZE4NOCBJiQ3hpar5ZQ4Yk5NNi+1RPNdFfVupysfISghoChq8cEWC3kZZ
iK+K7dwtBwSYjI1uEsM8Dlb7qDACSI0iO0KVPPQRZW0dKCSBtKuppAkbKDgV1e+S3uCohPS0VCe1
GVDjFExgG2ul7MBkpQpD1o3vPnY7dYqw5obZsSjzzWJWj6pBvdYKGX2H3Hxd2mbepPZEGm/b75gT
YPPNdyLtPOrzxJ9RG2oaC4qlKD75E9hJEu5BHQg4Mhhgd3HBf2nD1KMiKe+LKP3Cqeva0iLPqrLP
Io3ujJK4pK5LtCMJTPu4kq7jisSPQUebFuQc4kMWsZA+u1tmCLYN405rKPhD3fxilMVhmdWbaraY
lMkEBxV4hZ1qKBMikaZDgYykk0eSqstim8UIeRStJ/kHP2tfF/eJ0WaeYaDPFFO8QUR2Sx7N6Eoj
C3IkW75Wm8O5X/NVmB8QYdlo+w7/4r2V6xPOwR7974C9WI3OBQBNsgIoS5O5/9DMyadgGPWdETU9
HlzZNxvrwVCsRzMIXaURzzQk6FCsH0MebqSZNT1YLrOUpKxY8e3gioe1xEXVHzM7vVpm42Ns2Bxi
cRv4DfHtHKHTbi9X86EzeOyEnhxLhYj7NWQ+kqwHiQ4LUgWClUUyBa7UrOTS9KxX+SWBVgeAyFdD
y7G/GxpcD6bGAb7+CCLFi3TlQ95loWOU5kU1GJdzPKpOYfQHySYRZ6hpgAbtnZWYn0gQOlG3fFWC
/K7tzL0gRyYZUrGXSclB42xzYCr5HoIk/5KJkVdsCU3HmrLe4zBwyR8PXGyMHusG/pSQ80slEFc1
5UZtp58kKXCt0sboHoEoydX8auUTHgs1Oph5VzxEho3qeyacWpKL7CDBlMS4wQkJIIzhEof+PBKk
uunm7Fq0wWNGQJILXadxoMLsbGs5ZkV36gUq7l57Go38uVMFCSVcdORAVsXonMiqIHIB+sRWU7Wd
WmFiA+/M2dDQiATBSDpz4tWUtcISgqzyCOdDpx5i0RTXLUxc4E+DmFggCgJzVqKKjV14JxLroc9J
ww7LHO9HHVPM1JmMdqXl04dFWXrVpClX06zBaYrFOeLFcvnOdVCMNMf1gZRKozOnh6WGDNcIkR0S
wkq3HbdgM2ZSthOmNNP4EiZx6m0QcuYzumjXSaoE8Cvi0jN+Pl9KSJf9b5v+4U+lb/rP2/Tha1P8
fYsW/MyfWzQBC8hT6KuYJMd8P+X8PACxRQsbQ9fqrTJUPF5/7dGccqA+IZCVSVkwzJWA/nOP1jgA
AVOUTV1H9bL2nf+FN/V7F/iXLjH7kyKIJcUrRqDi6xGMKaoQ8tuChLQ1WycdYh4xC8uLZ9aavTUH
65nHaPTrSo82Yl4STbrIW6snvsuMleQpVoj5uoyCsq/3WtxWNCYRrsubStJ786oCKj1eMeE5V/SR
7sjlUdA3EEfvJ+3SYp6Mko9qpnPWKuYQqX3AsSrELYX7o1hPYoq2RH73vaisV13xXgukPME69Z27
giMrQQA6ZYtCxI/aG23c+kpBfvtFno9LeRsumCzhoeNk33TQdra2GsoeWanIUYbO8JpyTLZSOteb
kT1rO6SG2IxTDSUjNZr7ZYh6mpD2bCwbte1Rqs6KjS8+69kkce8GEhE4WiWRiVYtxqmfwSF4lVIa
t7FhNAk5kGQxGMVMs6OK0u6WuWpjbwytyi4nWu7Ktjb5/zlsy8dl1OzEqeoQ0w6q49LcE4Coypv/
XtHvr+g6evnnVxQT5v9zeE2fmy/x72Y660//+bJqfwh1jSglpheT9Dq4+fmyruMeGYCoBqv0fwbN
nwW1zr9gkUAaZq6v8cuXVf2DgEP02bSXVdog/MJ/8bLiAHzdreBbV1lJdEA0NC3k9d9fdCvsSZc4
4VJzSKmlePoa4GFRA+2NgVCP4Xu+R1dzbnMMYMSmCxsBsW0w1m3yYU5S8CffU0KKhsCQoq7CSQb7
IA/X0/dMkR7rKaD5kDeAuBG68AnU/PpHFIn6nSL5/9k7jyW5rTbbvkpHz8E48MCgBzcT6V15wwmi
iiwCB967p78LxZ8SSbGpUI81kUIRqkJmJfLgM3uvjXuZjBJ4rxWBJc17eonTNBSTZoNhLVMAGC+m
YIruUtKm7g3YC9oyIZLzNoTwhBMzIne9KBLWFU1Sb+FI4ivjnHjI1I7QshFMykMBjGJY6GYxgdTO
MFguyV7NljG5XVd63BXPelpGz4pZmFtOTwYIapf4F1uogbNI4OlDNMdAzhplSgMiAgiPdnON6b1I
l6ketSeh2OnZtrLuJuVLuCKfkKkxR0K3bQkBpakoHRiT6TBBonHzadHh9EYV7Eg04hGqghtFdZgk
Tk0qtwnZo59STWEeGRhjnS1HUZpYIFroo8yoQZTF+c7p9GYDVhsUjieZDD83kgc3gySExgYjfoZK
ZMHMI6bp68Bp7IGru1vQcvxvY1EFG1s003VddRyWblZfuxzVLCx45iwSkN53VP1nV8eUTz81n7qZ
EnRiFdQz3yV4P5nD91OawIToOU5q7W5woWRQShDOSLS7kMlW6CRZLRgC+NGuVKto2Ke2NPo3q3eC
Nxdf0Ib6xl8nsGlLRmLocmulhmWmVLbHvKl+CmGyV5dSoSWAPvJvcfHVPq7+9uQ6yCyof1FdfH9g
uR9o/E2qCNWiv55nqN8OrHkAwA76P+eO9t0AwPqA8mQ+lBwL0ez75vpbcTFPV6k3bA2Shg024x9N
V9/9SD8WF7jPSYli3mBZLLt/WkGrvg7/sLDNczgpenUPJC5JCUcbU9ULQwXQmhPVmjzVTqw/FV9R
bEDZhKJDDJwxbdU7sq15x7eN7yi3NK+QqtjvgDezphSoa3/f60kfEpKQT/F1TihzQTizpYYfhx5H
MRPm82hlpWdkJDkDcyVVtwxfcRpYC23Oe4YPEi5GMHIDUdCkosBA0mLCo4iJDlX/iYEgwdG5iMjE
TN4DpeOEBWM6p0x3JgiZ3Av5rdYyb8cmOxnKaHGyRVuJ73WN6qlfiSaTCz/rilfsVR+DLqJDslIf
RlW2rgfCPlhqb8tI2UoJU2ioslehVxFDUV/Hh5Tey0D5pJ2KbDzlRuwNczPsJhAi/cS/U0vnOsXj
4o7dJpqu1ca677v6EYftyiC91P1qOfp3zWHw9fhNCSHrmAF5+9fv4vxz34oHjXgkA5ukjhTd0GY0
+Z/fRR3Zh0voI2ZNeA3fkVoNDb4czidBYQHFgUfsH5U+mUrEH+H6Ynb2Tqix/1Hx8NdS39AcUBHz
tgNdyLw5+aF4YGaGYKCy8quhEvY664yZ4U0SxGT0wBQZVpA+S2wquc/IJk1xEEmqEkMq7XiXOCJ/
knT/J5iZw6LW9fI2ai1jC7GhPvexX3wGoI6RPoFpFiZkBi4CdZTLwlUYIaSqMlzVIFguZYTbDiA5
pAMMqw6uRBWmaOZn5xhK6WcHOPI4JNDHVVXZa0QpbybHSu8bZzSfk86ubnvgn6emDu0dPioeRXar
kDRsjvkDpr6G3qLW3nBXJ0+IV7ItAdTEDBd+/dIRfbdirAP1q3L7jR0R+9aGXXENAZmKnoBKjPGF
1/Wq0V1CJTO6T3nNEvygInkY8QLnMRnZU9Mqb4SURuE5NJK2ZNRVZ9XFDosMrqw6hLdh5OJCwv1W
LqaGRgf+qavkFvt3IxwMQjh7x84gbuO69oDeJvJgKRktu2wBkrMUKokl7t017vjh2eoT/YU6ziTi
d7CydRBa5n5srfG26fPpRTfN2d2nSYGvCvKPDFR34xdd8EqqnyQUdJpe/Dqc3iw5PFVKuc4CuVfs
vPZSFTQ9K6piS9ZUgPpRbSG4s1444LYcj3E+FJ6Jm3XA2p2TCSP7QGILbHTKwQ6aIBEmj4Ytkx3h
Ivd6XIbbArgRUzOGbSbU7a0V1datExbprlFAGxaitM6DS/hvCmVGICAx8zufZdNb3SXuqwIfda8n
1B/FkJIIoipe1RAF0ylKPTDWKMuGjB9ZfLGVHKJd4Wec7k69M8kk+hjA6fIml4CrwY9xBzIPOSGY
jZ6hNORL4N3jsY7Z1U/toBy4eYOlbpMFCNnIfyLLub/PoipZERIrbxU5FFdhB/8LxLXNONEw8PTV
taGuOkq0ZlUPZu0F4I2prBkWknOnvbnYio1E39tDr5OuWjnweXNLfSvygqRQYtYXblHPwy5sT/+2
c+/t3Fwm/OYsDl/q5hdrkfmnvjuJdZUlHeMxoGDvpM8/qiL9g8A+7XJAC6qg2TL7nzbOUFl+4F+j
/nE4i6F1fX8Ss2zGaf8u2Zvd1//kJDbf3X4/1EUsV/gtTEVNFIQo/n48ibX54gXZMVcisclfNlqs
o0b/0NlWAGZeuRShqFC3yFOcaAztR6LbELDR6gGp7AYHM7s8gRi9M+IsWYIzRLekQ+OqA4jTjr51
knZtNf4qRUTV9/w7xVjbA6dh8fhcm80S2iE+S3Aq9VC+kPh0Gpv2zY7CVe/qq0aBEDKqxakcjE88
tTbB6EqczTkQbpm226iotpXrHuooWMEGXU9kK1PdgQY0u6Ol5fd23517De/9WBlyE07aS1KJtSbE
Uyg6c237LG8KODubChv5ktAWyAxWvTcHkC0Oar5GU7auHq3iMLqFJFosB13H3g0OP1ONYFE7xZqp
LdhCXtyBWA/wFU4PtyTjaaWk9sXVk8+aDIvNqHFAygCgsjL6dyjWviRFO3giQ2lCTPApNgjlkoEW
ryjOkmVIpbokp2tk4u+sQGLvQ7PJvKBP7hvkinvWu14L2Cus4INljrunawWzZjYnN9PuyrDdoIy7
lsAsVu3EmT6m/UZMzheefj0qy+x6CAG+GI77HEXqDTpFhecHbug20dPlaOl3UyqfYypV0rFIbXZi
8I2StGjVJRNCfIEtam1h9BieJttxFUL5h8aoX7dN+BhGvP5gxJ00BbPOpTC2rQVPrsh0Y4Wk8y2P
4Pyz8OjZEjGnA3LWqNZSSK4jhhp7jAu5LAufWDTfEJcwLHOHZ9pExAh5H2w3MriZDQgAr4/4uURv
gIWlsbFhsX3Jc2cmvPO51y0aq6GEL1M8q608NpE8VtKVO4BlztK0sPIbGuZztyYpOEU4CNG5ABee
n1HHHVmh2zvIKkCIankWUf5cRqVkQo6CrpWVNxjZ0up5ofh3MeIl3bZUxZWmkZpmEtAcq/6hCtpd
nRX3rdJt8jo7hXm+Zg0PiJLF+DKoO3dlWP0MqgM24ojuib09DyENVd6w6WWBLDNj/ZRZM62DdzXa
V3nZN8vY7W6dOFk3Yl8iB+9OviLXo3BRXmQX1cyutA4Ui0mGV2uR4EIxriWNvmjJ+W7zcPK0Ca6J
FbGVV1LpLy0l9BeoDPiT80vx6RZLqDUpHu0W65zovoTxQKWf6pBfivmrGtevQ4QkKne+2NHQwgkp
o6Xfuu6GtNZdqAIcmnwjrRYaYsuFk7mwhxD5rsxBJ+feDvu1qzg6EW7wMocQOC/PynXaGZ9bs4GJ
wGIu17sn5j6fKFkinOfAEQK9vxrbqFiS/4qgr7EaHDVaBySrzbTqQPHSHDh7Sni+hc1StSQsLkub
nZmlkbXWW/A7952IHWcTogHetMhL+S6VGew7e6imldMGg7pyMvSvlBUodLaGo45QlHRzkmclI2Dk
1hWp2tz2bqXoh3ZocQUSChM+VZOhdZe4KbZ50KjLIhpRBhuxsZbSDFCVTi/EodzUPgmGTTzsDSNr
15VSDRtHsQ4mLaDHbtwASWN9IuyGsXdjlYs0Mp5ixQJ3M+ehqBQXez3nZiYyHO0LJTp7nvxj4Rsv
YVRpXuPA0wKP8wV0KKidMBcLvAzaQpBWAAkK4NgYD6cRxR1x5yhXCuVER3at+O0hdfKPney/0BQv
+wEZZ60yiQsKk0RBfdiHI6UNeeeuXbzIOL+xpA+GS2MAr9Oxsy0FwqRFZ792j0o0Pieh9mVSSU+s
A/NL3KUPDHQ8Zdpr4xB5hlmt/KC6iYcZiwundBi8ITkkoX0ScQJVacjnxTipkHoFS5o2tpQTRb+W
ni07ht1lusFKKMq1xhPT621zYojVnnBBH1yT7SJ/hWJrZyVS1pxFls7acglmyQMGQJQksBYkw8od
cfWTGTxqVU1xDIjII1ATynLs9lycxsOFKE3SDvGmw4x27hFD9/DpL+lQ9Igc+2PhNGBeHGLHA9W+
yD47sf1PcWmDMaS5rtN6G7TNi+X24wrm4e2YKOWKCWCy8l0eIGbU3vttW3ttnz0yJ9hHCpJbu52e
2tIFFUcnwz0wgUwWmrKs8uatdt17Dui1KJIjKX2zAl7fYpO6B9q8UaQ9LMFc7cpev+qc4sY181fJ
gw4ptTgbojnAiPGXXWb4G39SKwi91S5QOh4JTR+QX8Cwn1C3nWuO+N0DQhCJxNvUJqMAadSgydor
KpF1pjUP0Dm3lNshxnSNG7A1hlUs0m4lVKf03NjHH8M0Y2mTwe5ZMYQkRVE3lobCgu7DXdbg7pD9
RwvHbvZIsiuww+7erod7UHJiBVWM6IfWWityCjZKrx6SzLWWFLgBM112q4GqXVkqK3qlBubRZCLd
TRoccqgKrD310l9GNkHShrwiteNBESj7lcwhUFX6HHDEz06pxlfCdK60CuiCo+oprI/hU5YHj5gz
L3VmfwK18mmwxJoy+SmPg6c8KCwk6HLnp8WTyJ2tbtD3OdoBaAfxtQRqiCQ8aFX/EqTJprWpwYFc
Bq28phWAnt4IokfnQ1wx15z14fLfsvu97J4nhP972Y0fpnmr3sa/jkDmn/uj8BYftJkSpbvuuyXm
+3Gk+mEePrACsCyTbFXmHN/2J9YHl2rdtoFf6rNQ6YdhJDRMjJUaqxMu9A+WJ7ZJ/f6jGgl0FTU8
CiedNGjWMT9W3WmBqnFUHeuc6lO3ZttoeEAmnm1mZbndPmrMzuLp2p8f3qW60pistU1w78+jtnEe
uhVM30qmcEgdmMjpfXyfziM6dR7WwWx8tZqmWYw9HFfmeSJAG4qJYG2qlc8jhaGfJtSPyjwGVOeB
IMlj/QpBu7+emBb2srK2HNT7rA/lItLDx9SEcj66z5PSAN9zqmUvyxeWONduqL9Ulvo0dBRRVjOc
Gr78yzGM2T6W0aFlU7kwsSU/jsL5KJtCHrIC5Ivak2oiiuie7NKPoMimnZHiJ6uVfG0503YqtY9d
nZ5d0pchoty61YZMr1XpkjRCNNd9G8pnRyrbXuSPdaUEe1srPLc2lmnWoQLFHYfzdhjledbYlCPA
J1+Gn3NUFPiEGJRY/dmd5SS51HZGvo6YdIZjDvXuNihPlb0umvi51CiseYmbudRdINTxEiOBI2Ty
JY4jzbn3DX+Rm3W97Sx3RsGAlvKVIx7sfps3xCj7sl31eXTDUXK0RD5R+4U4WJKETLvkc6VAUW60
GplMJTaVNZE72rVXo+NuRcTmSvig3sJMf2ukNPZJxvUSnsgmXZVrV69iGqVXC+sIn87L6+hlsHwK
y9Y+ksILzMY9p4XhWZE5A7cigJ3hBNjR45EJ78YYLC8RZrfIZqFKMM2Zbn2nklZtoHe1QTlL2aQs
okDwj9I1id6brtzGfjELhUcH86m21pa+oK3QtPG6t2Hv2SrysFL/NM7oHKOMbjIVd1TIJ6cU+r0J
17QklHklaEWPpaIyxMtPRUQCczo8hHX9WpQoONWejJ3JsjBGsLmnZcOCEkfNrhvJaCHm4JHKu1hM
dNRLGabXYFr1ZdwNW+qyfF1hLVugUOpJ493pGhAj9F9f+DwOeVFcjCpEriY2QMPEMsU5U3SORlKS
fhtBKwXNemjUnignjRFkk+39ujmCktppaUsMGqBSmFOvEYJdNww2DFwpoJ36rq/lbdEq9zK3diIj
b6ky3oBc72IRXJADfczq5N6KCU9Mpv5o6NVBb/NT28UNU6vhOkm7DaOk41xnZ1O/Ldx8p1ZYDEZj
WwbhPjAEBSiZCEXSH/paXAnmfOsWJqofNE+9jTulNiYMNBCXW2pksGX7ytVuTFkcYtltgZGwx0zS
dscs72KI6hQU9iUruk+1ZCbqBNptndePmB8O0L1PbQj7KRhvMoiN+K7DxzgJeWbJxyC2N2aQ0+JK
Zzea2cbq+pC7oznpmUuIja1fk+a0w094nSodKjlRLsO22nWueBIDKQaOSBLP1dobmKfHtqJwmmw7
XGRT+sQib2u3uDKIfEI4gQ3PyU56Yn2cHHfTK/2qcTHkyO45q4hXMsWXqQYMQODNakJNJbE7YuKb
qM9vSHkfl2iDE40EPJOzj0Z9rxhIlSsrObhBe0SqtmOtAt2BJjYMw4vRJQc/IPIkyoNTT8uykm72
2snGWShVAorO3ZS5e66yGF8WDMa0FCrQUPVBqu1xUI1HPVbOGKdvp/kjRP36WgCrZlS70rX+oAbK
4yC6i66qZxEPXmjNedVj/6IpGN5kEUi+J3itGj6LSjXXWQvGrnSI69P10+hidGQ5u43zaBNnRe/V
lvpAdum+rLtFGEI+rJXrDi3nUjPuQFgQAjS9Rol9O5lNcMzMstiJAM5Emp2UTPgLv4QOPJkf1cLa
oJpnH4wqMGosg/SnQdvGmBc1LXiL8QItbMqxw8iwEt2utlZVwHY05xubffKCm6JA0YqLywrEtk7b
p7qXtyWmzrEN7vyq3mYKJkaW+A/gJje857tgTB4bMsV2g3EVz7RU0RF/YdHDQ6U1jfzSN8GdFFPt
OVa3VZJp00zOrqotYOjqtgpc/jTqRQFbv4CFe9212i1bLxBwKuMJpyLtoVP760K3TjUMDGuV1IrG
FLUv5YOZyobD37IPWuZLzEXJDF8jobGc6BKdjm8nblQJxZ5habUYx2KLNWhjB5kL6tF0FmlDCtWk
IHTUOkC/xC4MC4IpXjuqecPKIsr1yVyEJMeitkloWgK0hs3WDxWsG3PXnXdutwfYBBdeGb9kFZNi
vsWLeMzipR5VKiuNwVmZxIp0eaDhzbQqzw4R9YGusxX6QIs8zTQ49mpDthyxYU+RalMDm1OlrFun
N69rEtoQxU/ABvvEIDa8SxkSFz2QqUlVjr1e7YlgvSILa20M0crWpoe09G8COLRtSdSdrWdLLXEg
qanlk9+b0XKOyKpUYKpdPNAqI1/Um+a1IzlHjZ1nw9dPXT/ykAGRC8wOUvZC6vUdfNDRc+zwhZP1
gaXh1u/DizCHNz/SD7CfzYUbyhU3ErHzCivWyTzYMj35MtHxQqVAdOO1UqSYMXlEVyPZ4lblXyIs
rQl9J7lvcoHucEco/dEc5FatpjkqbQcZeWHmIkZKFQcky+jXbp/eNgzTupwYsTTL7rKkz5jwxAfs
hQhGlBMb7CWl0Ibst13jw0mOsa3Y5SEomkfL0Gk81H1FYh67s3XsFJ+wQK6iOLgefCqF0SxWk49a
A82yWTZvKdMiJcNNwU03DO2hdZNP7J+ZDeLeyIW8qZhJWhppQgZOZj21tuEgbutYmXsYRVmO5LON
dkCD2q8J7/JcH3BY69brJlK3aas9dQ5C8kgd1qZCuDqaSkoLdA9ZUnK6x09E7y4DlVFDX2krN27Z
mgXJTiFU0HX9je5MV6JDIhE36t3Yq2s9Kh5zrEl4JIkXUDr52a/ybkm8Q7tqQiKYTHH2A/0j6bsQ
kklkM+jrIsZmrhTuOgj8Axj/t2I0z00BcZzzvWHQys0S5L1Jp4yXmVQVdeWPlnPJ1ZxsUZyjiUPo
QCOuiT88Jg2CFiXQ13VN+qFvhujB2b9sw9F6NvtoJMeIERIJtsdhcFpP6fPHAVleoVjPmoYppJDE
7nSUL8Jq1zFbm2VW864Jftq689FTsvaAvxlug4qQXbOIT4WPnTBQmIgxK8JiVXqaBcCtrFI8gTDi
ypFpqsF/gbfx1A54JNuXTTIR2mBrzJ+b9jhV81PbNJ6GmeoZCajR1eBibRqNsxrLM6rmJUjfcGeH
U30s/MpiCqXDZEuCfV/5126dPAvJKHT+ult6Fy7cjKc5ZGT92QnRexfGNY5xeXT1jNa02AWFuNMC
KprcJDOwZ/Ypck+k8bEMBI2mUaE7T78wAgaXqmvYFp27uMn3Ei9njPG7S/phVWvN06iWN+7ATCQr
7HOkBucUsXxiG+MhG6KHMnGfjUG/cTiHD6bO/rENLPCLjfE8pe7OhYaH7UjitiUO6KCU6jpXJYp7
dpJbJogapuGCp2NgpEK/HdRIo42oKnz5TjIaGqZr3VJWmip9Uqi+6/iuvi4ofpN2b9DUWaQQoGJV
2WGjF/2xgWLTKAZNy+Qlwn+VZad6Ghaucfv7i8wsoD93IzPUbb6IpbJJZx1BK/njRWJ/qHSlriUD
WBJJ0GsxfDDumv7u95ehE/3rZewZujXni7N6//EyPkt5ugBB4a596fN7Rf/HhL050EAVmiFoNs2f
/1Y1slHCBdPkkvXcaFvHZ6X1R/f9i8/iF6/fxr/DX4g/lMlS/8fXTyg4VnyzTC8OfYd5Zbp/QwX6
Kz+Hj+G7v89Pn7VhxSqgBv4+RrpRyAnDe0D0Ab6FtyTyfv9WfnEp2JEW6ziDyB2S8X58KyS9iQm5
bnyB+cnAvBEL4L+BseQxDD7y99eaX/ZPd9cPHwvThu8FlEKVKVu2JLkUiGhqKrolXy3O1LFb//5C
v3pT33/+P72pzCbWtHW+Xgj+QYY3MlzzHJkfxcXf3Gvzi/75TbkqGcEOT0dd+5kKqJuZlvPgzS61
TurtSzesTP/T79/Or2637y7x8+02kYOWB6bILpnzEvnPhvJ/uJ0Rv6Blc1G9mu+zm++ErVGZsIhg
R3aJOAF1G3vH/+HwgoWCHI7pj6YT9PjjJ58pGfU9OQ6XyX7p7XM7sz2avzm7fvWhcxOjzDfwvKnz
jOv7u8sNU1RaqAouFYXfuHRga5jXHdRloCj639zJv7iWI3gbmjr7Cpg//Xit0MfPTKh7RjgQNclK
EpAxrph/5tRYN+8f/r+qL5Xj4Y9D13tpXv7rLWtoWs8v6dv//Pcxr//r/2XBW/JW/3XqOf/ot6kn
0nAeJDjcdQDwX5k+3+QGqvMB9RaPclu39Dk/9M+pp/HB0XTNcoBc6A7SsO8sHtq7+8MSoIWYmQIR
+ieDzx9PB548eEUExg4Ipvg6CR/98UaJHLt2+syNzoT7TaYN+XtjlI/f/WF+8TRCocBv+fMM+noV
4s3ItwAF7OjmfPB+9wUu6SnYf5rRuckjmYAyERx5LtKFpa+zYI/0usKWrKlHOyBCtC3CaJlMFLaJ
Ft2IIrxOpLNhxSWPvRCtJ1TFXKpOmywYE8E5DcJdr6W7tgtPsnO3RaseeWZcs0Y+lVNOwqV+wbiy
F1GMJrmbEzRF6a7tmebig8tZSM39jDyrX1gxNI6IpSCoifaLxFRCOWWxN6/mberC5+cHuEWMMlTf
2vfKBImzH2yvmdXO0ax7HtoJ3VnMLmSJjP7Bn7XRdmLqH7VUgcmPfn8jRRxCxW9LpO5ER8SgttXR
Gx2U8ETpzBJr8keQO3U6UQRjPQ4be1ZiD5ZDRjkqK915mLSSgSFZIJtKmSxzo+b9MJVLjF2CJMvW
TInGXgjsABen1JQTv7/wZuRKDFPtkCvZxsnBwFitX9EC4uapULBv9cSI9y1mc+eK69X6R3MM7Pqg
jThNcbXrN7ldmcNVqEYIvVB9QBux7H0XtMGzoGB77OwQc1AykhHWZK2xc0AMVIxwicLeOmHnIyjo
a5cIWAJeLawxKwWKvKcVmEyTFkJKGQTjrtPMDip+a68a/uYEeU71Sx0G5F8wpBoHJoRuiWBAS9UV
hSj9Pxk8N1PX7iPBMefmqnuDAV8ljYdwWGdkfZcXKWCE2KD7BB1XykfGCN2Rj67zLLaZqwpQlVfj
f8LTMMi9NZFCYjdwiqCQq2i9fONcEyNBPERZb+gTtr2REWI5aPU1mQWsqJX0ROt36qoaOmwlr43c
3DksvDzfSra5zGIv0MVV7fa3jWp39wESnS/5LJOMYs/qB+tLLlvPTGsv9kv1TijtOkABqWh5TB4t
bZJDbMVAB0WUwee6bt4Asr6N0fiAJtir9G7vEifFAbKwjWljDOI0Op2nu/gJTY0mCcdG1b0KdJFl
qqyTXl3pFd18O37KGKQG+SdftKrXW4m+GeyAF2F2z6YlX5OJSZRVx/W+6dhKKv101FJtpwfaySpa
8Cvxc8HHVzc6UjjHhvpirQPN2bZieh78mqBwX2PXXrLJCLBP15nYRaYaeepI7q1tX/Eeb8wW2v3A
ctEDZ11jBSZiO6S2BAyhXTdJVp/6Eiy8NnAzz8yekj04S03uspQFM18iAWtfI8ticJyjU+hHFDuP
yoQgw7RvMWJf42I5QshYdqR8MRm5Dl25T7RipfnQa4IAz+8YQ+8Oe8D8VU5cbSXOsRJ/zGP1YwGL
B+HvgU55D43reupVL9EyLyd8xDSiZZmU44GxKepGgk+dcPxUkpmAucNzKxhj4TAbPPs9dpCRUIss
2zdO/jkdfXwUOC0JAwVKhAAj3pQuIhfauptpRIb5+5MXdfFfT178g9DeBBkQaI9/Ot/DUcU+aiXy
nJfkGiOopAzoxthL0y45Nqnee3aHfTcPU8I2pze1KOvrsozFnYN9fZEPw007c7sG34td+1EMzaYM
rS8MYAOvKEDpB5GPTWhkwzNxTye+XOY+dTMxVuw3EG54ttNsuzx/xQ3TLvG0PmgEXq46tSGGWcRg
oLJlXy7rYacWSJoaAPxqRJFidFeJlm/qFF98kt62drRv/fgw1cm+bLWjXeRHp9bcTdOPuVePcqsN
gLfqjqWHz9IqNKINFanNSqa+McYWGUho7UUIAqjB5nf0GxV5UTXckyNlLFwLta42MpNH3rAsLYuI
SxmfumI6h3W0i3tzY7LG8WRCOG0WE+DhACtLCaEGeLEyg+KYBCkJJZl2kawGkjbd8lyrFrzKieda
vc6j6hJHyY1hu4xCsg5veabIpV4IMGzVFdO6Dr4l4qWqiu6Nka1PMMgXV9gHyaiQ4S0SoGpax3H5
OS7FRi0IGzHU5yhlnqYDlXONLQq+EzI8Iq/toygF5m1X+ewTLrIotBIzD7iUGMk2c6j5LGuO0rae
NJGsGRJ2C0eJn8dUU5dRPcbQbIKLPpkqfQkTKaOInK2WRu1DjtLugA2hOiV5n+5+f6v+2EO8lwiW
gR3ERoZOALv7U4kQMW2DXpPKMynonh7tK639m5qYkum7IoRfyfqYqQGQdmt2uMw23O+LEExqGXzF
IDgnVrRQrIts5VYWN1UfcSckS2mVazda/f5d0UP8zVXn9/1d6dMWCJEMXVFOUP5uTWLpGWpntzwV
nwKD2iPEU4JOxiQzTidhmSF0NzDxTzL4ZEKjbs+q6SlX7KNsDLGs03CduL366oQsD1MR3VtO2nuw
+g92YjwDMxvIedatlrspyxEa2tnKQX7tqcyAl3Y2jrt2sPXXPIuatTERvSel/JRwr65KYYUeJ/CI
dskSy651bwk3mzach/dt0Gm7NNCvwrH5DNpry0Pprq6qtVX3NYqVaKuLUFlFggqF0W62GadWLEsk
mF7Vm+HCBqqBvxy6mASToQeQEdzxwE3/pawRRcFk3FWGsh17426YokdDxHuzYbVcxRRr0tch7TQS
3VFr7uIpOkAL8rLR1zw9EUQ6+DGnrHjsBKttGaVEHg6brEIT6k/cwYLsoYC4Jag5eZQ6i2KKHK9K
/BMLzmVg2ls1Z/vjBMMthmEKuEK5a5uYCDWd/JbJbliXSrJx2/zFmnfRIr0u8TEDymkQZu2Zeirw
KNiZZQwgC1W9z8ZwO/gIqfAGngvmGl5UmLuKRaRTCtCPc4ibaWyCwjjarOL+5nb7u3t8LsS/u9tA
qNmdNnG3RcfsKjgr6/JQPuCT2EGcOLJFC5efNMbze/WUfez/hqr8Hij0Z5X/7QuGZQq3GXNAd35x
310cI7OTxY6hnDAILLKjtizWjIHVg/Jor8VK3F+U5fGxW0XsMV74R3Iej2Kxl2v/jHfg7yDKPz74
vr4YnVRSpl8WbZT50whsRCOHLW72YoirAmi1FI9Vt/39n/vHM+uv1/ipo5+qtFXCMAl5uL4FAGrG
69///l++BxQuePEM1Hv6T59mOlhABWXJw1u5KsFaVCY159cT6t/2fVbw/O/t+y0E35Qx1NeWfvf5
f/77P5G9/NS3zl3TPqADonfn9pk5SdzP3zp3Tf9gMitCd0tH/y75/0Ov5HxwTA2dtkHaGy6b+WV8
kyw5H4RNii2zAIgu0Cv/kX8SfeuPjxZTCB6TeBWgPTg6D86fHmhsocndRJxy0XREMGvTIc1U5/D/
VEXtqjNoY0Xqx1vFbxARqu6D37Dl8NGne6ZpvzZpcmunvYvPUfPahsGqX8hX4jJ3dVceYyUiS9OE
VCDLjlamawDYqx97ewg2tdbXh7Qsd2WHYWaSF71RdmzdTjUNslrVLuBFRCcdFMwF44VtJqPVhKXJ
1huv6S0IZMp0FdN+zgGJN5rePKMHVZZmnF2DZFAZiCl3SigrOLkcE6WU64BQyiR6SuT4sQ9Eu4jM
6KauWMtVZb1UU/OQCtbpCEc2Y55rJ1EYl1BOZN+pxmEyi3OXtQen9j8X7v9n7zy6IzfSKPuL0Afe
bBNISyaTnqza4JAsEt4FEHC/fm6UWmpJ3ZoZ7bVVKVlFEoj4zHv3UcCY7ncTMfydPUMzSur4PNns
bxNT+zYJZ9sDxHgT8PA2U+FHMI6eM1P/keB/2Eyt1YWMh58YAqCNHvlGSu7Cwj8vZQIAg+8h1otz
trZvfU5W5BiD7ZkWlDup2Tn7GoZRPCNiEn71hFHp0svpe+UO9OWeeT373X6wKYiDqlLkXWPn98m+
i51LYbLgUl20nAwSUFYict1gJyfnPI3pXh98mEx+fldXuo2qdKYuXq+n3ic+KW5fs9Sx6H86cLpB
8dz1aBuKYnh1VhQsbic2Q199Nb44I9xLroEB30DVSqOaVSN6fWC8g3noY46evksezVJAs0iVwmQI
TpMLVgaX/I868R6SeNnTxM/bqgFh2pgko1ra52y3VyveNDcfXvhvh7pBsGCPvo81hFzeNB9ucVqU
17Swj+51YwD0CVg8u7xPUWrFKSLc/qsyukPuCUQuSFkHKRI2XsXZkN22bSSy5WIciT3rH4wR6KFT
fLMXY4+6JNm0voMNBWnS0JCiVtcViOl02XWA9eyBJIsVj/2SekTtApkMi1Wc2wBBWV6p1KbF2ptJ
c1VAHSoDOuUiEHd2MZ3ylMSpVEAcDPjZ2/HVgL4DazyShQ+ZNOIlJVgE2U5AqQGDyrs3W9IhaFlF
pd3pbdDdk2qHMhWs1G6w9F2h4TSWZvwFa/YzdgKdYEj2p3rnnbx6fu5d8T4UdCdtQ2Z8wmY8Le6M
tjz6jDFC9IwwgUAPWN5Ic6KLnU+oF3GGNt9cu+08BAvWnCN/m+0tcLNpE5QetDSkfCFVTTQ0885y
F7RqZtTN83c/RsQRLE/8omlpc+24ZNp13aX7tNCOQLoYkBlhkqMdArBM88Fwoma/67ebxV5PFst6
oxOQoqChmKSvjXRImFTw3WVdgdae4c3s7SecDVVb8Qt5HpQ2cpZKNhGOyKIyLU5Q1HsEpPZRmgWv
VU50XC/S61GhG7FjBLu5ciVE6PqAY/AGp8lHP9m8BATBzl67LewgstrlTOzdcRKqrDB13AjTxO+W
RGhNHmQvPpA8XZipRH1uP+pZgph+Eddr4bkb26m3dsFbqOM76mYj2BmF/uDI+LODCAapHNMi7IWw
J3TWSBB6ax2oCSBUACbHq5ReLc9QqfjUuaktz5NXX81oETZVUYZ24pMlKTeDy5gEQJxY9H3gydvM
HV90sz3GNoF1o+5t6RQ5/+ZaI3CyubcIKQ2zVSAYYwSW5IeSA7DNxpvYXR8xKGw6c7iLTXkS3bhx
O9bwc7BE62ruXFdsLaR9mBjGCAT5yils7QJnuML+ufNZGcOjxGbU6u+kNpGEbMrvVga1Dh+tBbUr
uTVqeFFJcmes/nXgLyNRwFhbXOYaOmMatPdIL9sk31ZaFjAbcrDIp/OtVWrgvpdbM/C/LHPFwsL4
EYNIL3wglhnAjkkbLsvQ3g6e/zRnBE9XjiPDuXKC7Zyb5WthxQux5ONX3ssr1BnPpayP+dBcpwFq
Kymye7maOJ3El5MQnyuN9oaBy67L16fCMBULq3jmBN72tXMntJiAdT34prniZe7mq6lKccPJyqP/
9sPBQC6OUCWdMRZPyZUNUzSM7eUYdyA58VAhKDi4YDafx1Kbioh8eRBZ6zCFPsKBUs+O+MjA80zV
Gs1N+sMeLRktYzMTaGy8Bet6MaBUbykXYIOSeoi5BfKZ1X15w1iAESHqJPM4Lpe5jtIme2ly87ap
zHvcexOqCZvNYP/hYK8YSDFGa3Lp3RmZPeeXIAN6Uzv107xoz+3cPJaZiZOvtqK2zPDtLtMFaNEa
2qv/sNatFZUyl3cC2xXyJnLbbSVDc2MEnxDkEUD8v9oBtcT8TzvgsFVg90y2AGEHbKBNT1W3v2sH
IK0Y9gId5GI8VJtXZzfediEJy2Hw9njfn1FGbJtwOGTXzp6I+AMzm5OTHPJzuv9Z1/1T4Kp69K8L
XIUI/V/wMT70/1ffAgLw+d0FauWq0KG/6vH9f5FQARXZhtyhFkdUpb/Wt0CQDMX0VBQilXRs/J3N
FBXGfz1AMA8CxLsgTNT6908PkM/yy3U1fb1YVfrc4QEPS2YnKjWWgcZa7fzO3RtTc3QWZNxz8EzS
Av5qidKsCtzH3LfPVjMcuUO23ejHfeR5VR1sM8a9T2UTwGg29btEq8VxwFMECoCE9HeTBHacaj/f
B9I+eTecn6+JemF69epU6iXS1etEaPTDpF4wf1wugQPAmYjKqE2xH3a8jQtvZcPbaUEc2OjqhdXF
dHR5g9PMP8HgixbebMHql8J32iS5ft/y7gc+1PSx5zAAPEgyohpDioKKuv5a1NEBrWcXq8PEVMeK
Y86XgXOmK/MZ4pM6ejiDSGpfOS+YqQecUYnOYdU2KRkMILUBWGqcbtPcaCFhrleG9C4W55/kHFyl
F8J787iMOSINc7wSY/uSqrPT9hqWO9ZdwalK0uVzkQEMFpy3Ayq5UR3ARjxtq7b5wsjA7CO7D2RL
YWZV121SHY1qeS44y7Vm/NKFs0Ro1Qm0tbgO14wCTtNQc1llceh6rcUv54YaVWQUm4xMHOYKUFjb
JVxZl4XjQN502kzhEJCs2yCG2lQkj2yJ9F3DmmjOEG3SR7okp9oylj3sKX3Tz6xyfPMYuNYB2+Ul
LkUdWgy7IGSLDrmS68pqPzhEVW+csjpagwj73jkPM+5Sq8FEnNbjztbj9wKSLEo4bWPjFc7r+Q11
FjkhKFPoBdgOYOadUviVqaW96SLJQzEiOjUKpt198LmoZoE98Lj19V7uTJm61+VkHdq8Fg9pz67J
HNDHG2bCussL8mhFZZ0SQBL2LokIQC4geVYGRi40/yXP/41kM+pp9pFQ52c2xgddms/TiO2RDHA9
GnrTYLhi5tdtjeE3wRW/TR1gkXRWuJzn3A4twjL2C/qRm3a2zLvMbLxDhlcssInfnZJTVZAZMHfm
G3MWRIBEq1zocSec2fZu8audHHp8AktWhs5Uvy89WrUxw6alAYIaoPen/D5zeJwXmmIUeNUvp/tf
pnz+aUSiemBOG1iHoNUUFPFPSprWmsei1ALjUlZPhf3DwYP8/5pM/4+/gmh1SEm6ghTTDf/xHlsg
ofW4XO0LPltZ3C7tY/1vPdU/d5TF9OOv7ygF3zs1b538XzeV+uhvNxWwG5Wj5zI3YYSplgO/TWKM
f6lwVzbb7NJ/gVz/7qbCuwb/WufX5vw0lf3npmKc8u8v9neJDb+oaf5Q6bBbQ2mHc822dNez/zRr
9Hy9mmd7EZdFG10CjUzSe7BT1H5+dEG4XTLbPWepl964jsDz6Tp33cIWaU30eyu27wuBBV9vO+y3
KdYQ+gjP2HGWXxccPNqImLw2rv2aBsj0WGba8/vCspMwQyLlZXXDMGoXJ951n2q7ZtHuGGM/eUv9
AjIh9OPu07d9/Aw+qqkaLg5AKg0wgZtaR9gKz/gfQrKBGLyUNxILEx6Rm9kbB3Zi8zXWr70jyNvO
kicHtT3uzXxbiuk9yIZzHBS7QVjfraTcj8NwqmOXjja4Gu3uJk7Tm4DmMgC5naTtjUS0azWMz2fz
hYHbIcWCESzLRiuaS27kzDeNLRuHqOvXKNVH5kH9bZrKczIt4dj44OnlFhPKjWB5WwRfPa6abYVA
GluLPEHYf4sn7AOu/ZLnIyQDTPZOT0zIutfynIR0cPqteEBL0W/iObuoqX/hcWrl7pPTV4d16e8r
f3ivzflG8+ubNO6uR7c6OKs8VWI5EAwAwAfCTN4SG4TTBQKwldj3nhoe+Fp7GDxaPLsk9UDScRsL
Q/e4eLMa+z5o3TDNIJaWXLNSG64Ts4rWZDwKFo34Ce7zgM2nHj/b1fKUwNdwAVNvOnT5rHJIzI31
DmZxd6Yrm/D+dJiUFhlHTea+eSNerrbDtt7SOyVz+2Kabbqppvkd/Ax7RiEw/mz7JZjWbdz7Ij/k
QZ0eWayI/GKvK6yzHMuEtR9Fne0CQMzgQ7BDIOzcNx3qGoB/90UztKfaBW/edwj+DcijZ8TfIxgD
gzXVjKokqPFJxNaa35uGuS9MqDZYXg55DY/EB2C15VviZoZcHho1WLe8JVJq8PWcbCMSx/HVObSH
y0NmL12EX36mPSIIaJV4swlkMjdT0j8BDmKT40p0NiW3lI+iZc2/JidGR6SZj5oZfyAsQfJhX1aw
I7Yobhj0TFExjaFdxp9MA88+Yyht4nNnIQeu4MWWYdeC57bcZJtVzZ3ZkPMkWfS2Yz8ghMfMs6b4
OvPWfk9wKm50cr42bd/JqLeDm0w5p7w5/xFo7DlGW1bhODJdLUz/M2mD7/ViPnF1ffLvR7nT6H24
LMglmE8km7RiIeXUTBXbAiPM2OLkLgWepewyptWJrd6zPS9f0tNPeeCfSCMiaUnDVZSkz9mKr6Aq
u5sFeCegBnRMptTcc1PGqIlR4SRB0W/NdLQiaVOvTEb9OuUrP+Wu+qE1PtONeVKulqTe5cV8jLVy
n+s4x4J1/LY2TChxBFwy3Xun9HifbTSKYq54bj33YLmjwyfLQ+ILbWN2mLvaEk+nZe7jxnwd8O5s
OKbCrneOWQK6RrrZ65JYfHHN/sjijvEeBneA2O+aFBHCG3btsY51Nn4h3QOURNDzBVgf2hSlltTM
0B6AAKyifUwnDOJ6vixEMfF7n+P4lQ2gZG4dezxf1q5THo4gmHhFs2IhHpnXUhA9wj/P+qp0E2pU
nLC9ZwqZFRmVWtUdsWm5/NvGU+v3l7nKMB2tEoWJdZxS/SYdRogJ+glCE7ZDDRFYpoFkIILkukj1
hykZrpw6fTQWD5g2DI5a5GzT7cmK3Fm7zqRvbOqleBKpjSenar2o9FpSp9K0qHdigiEWag2hA+TB
EfOZj+nRHrJdWqJJqHVfAxDDcn6pGSsRkNvsZmmemLHftRUYFM+YyzuyobNfdoj/1CJK1PvXtcj5
U3x8/vjvhZD61O/KEB0cNwJkOFC+6/FHvytDuGddO3ACz3B/Vii/liHoPwm/AOREbuNPZN9/Gmb3
XxQLsIGV7JiIxeBv0bpN878mLj7kKHTl+G1p3e0/7zwtzcSV1hXFxdB5aU7BkLU6KV+Vrb2gxvPo
z1xRLaGEnHNneEUkUU2yxDzMx6Me5/u6bjYp+/h88J/TZQYQlI2PWOXFlT6XDfifJJ8hzNcEZiPz
DKs+vtDQ4HzMq+HQmgBKMtiaTbFcZo2UPiwQb7FnkpMuiqtWX29rd0YLEItnRqL71sGBLf35edWn
H27r3bcWg++MZJ5DMjMswkhzsPvgDkzw19jgpKryStm+dRcr3VA8xUl1SzAQkQ36guJrNi5+E99N
FTM7d+n0QwKTeDMLHzc4XJuqmA6xa36zW3RZU7OwH8vpyBuSjbd0MvmhJaFuGyCExC4Yu9uqS19l
AVquxq60TwqI+GsLG99SlHz5E5g/KXY+PVuiM0FVSH1T0fVnxdlPU12NomHv94rCrysevzdA5ncV
o79RtH7Qns4l8ynwEgOW/wLUH6KWeZsqzn+tiP9uh/hAoJjapT8DAUaVDWASEhAHpAVw3IE6TQXH
g8oSoFElViBXCQMxFt4rvxU2s7ZgYYfUY8vMTranucaRiwEkoqksmotXGO9GZ9mRlNrGA754Tkey
4GI/jwba3rTmgreTdac7FX7iQEzhvDTQl0XxWTbyhev1utH1JKq8aV8OBfNgxzmLQIOwZ/IgVXB0
2vIerNWpNcU3Uyuu84lyoTOrRwt4I+Y2/8Nuu1viQ29gKrNtSgevuHXyBTexZY1WjnclzdczBhqu
XqK1ihZQAhSZ+Fgs6VFWYKXnmLQ79hf+tlqTj3WegKnqDMXbAItZo1IvHIqe0BbOh6NzuOP4KcLZ
HPrISuetNIbIU5WXiu4E0OpEDCPwuVNfb2K68cGdKkhQTnPQEhDVmMy2c8b/mfN1UyPYekvLBFx3
gDY6Adm7qz3ulzQjtHnWbzwH1H0hHHBaLTpKXR+u8JYCHXJKc5thimU9a353ZwND7NI8sFrNWERM
QRjXvbfpgDYGGbpO8LnBpve8zypOfmCzVabWMhxy0qdzLb+VDsOjhZRPQ2d6I/ul2jYgmkHkQ4r0
efTZgSZRrYshiWLqMqp4IGATShmvKU51PzSP/8xbaSOZZzPp/Ov745FxK+aA/75A1Md+u0BMBYHl
J65mCWQrYNv47QKx/oWYgJsFrjwsk1/HrXAHmWygADHwpVgq7e4/t0cAM8XTAciTH4GKH6Ts3yGg
6H+UE/D92Y7CyeomvBXMB45Su/xuXo9nn0i6rq9ua6O1SfkyJYXpoiJ+nY21qHCGeR5H+kiv/YD0
+X1tiKrkKH9gggSFzHtfxindtjI5CN69rkWxhbCtpAb1bvSBPFstp6loWvqauAnGiNVNujNb1nlp
i1RJi5ntjekQ5nFz6RGaaS4yLCeYftit1mxTsMoSiyYMw+xqtld63yA/a5wfQm+cqCE4gmrNJZ82
5s+8RVDpsloXUiiAwG6timWvm/67Nhu7dBoMCvfk4BHtV68Fiv0C5prTTd8mX3sqCYcJ88J4sJzh
NUHtsWco6+/RFrqXBBLwFnPPQBVZCEIvkjfPWxGqOkwxfZbEoBAujSIMQXx60BVzKAU+NJukr+nO
pz1Uews4UW9nV7aiFQkMx8jar0Qw8H8Hh0oXrxK8UTMrCIUCHvXua5C/WxNmU1hIoKc+hNlfxJq9
OLCSCtuvIkQq4JMc91bjH4tKaDpUaaZxj2vYVTWZ7JYie+gz60a22s36E8ykZxiDFKzJgXBwzA2Q
tAQXonHQ7VvNmcgs5GbbOBrDYEBsV3kKfDLXgEF1ScnQVOqEPs1PpGCdUONhI4Ag5TeQ0YiAurSL
HcA362AGtLVJmum09xWCSqhNX7uU/r7wUgF2AFSVO8YY0hS+yij5U28xAQxMzzGEqzKTt64uL3oD
LAd0fLcXMP7wmPr4zAvWbkmxmRUyi/A6eAFQtCoNx4EwGWjyosXh1IxXOsytVMG35kG855q4p3+5
RUNyTHK2t66Z7224XdVA9o8xkwa4uk9D3nEyJ889pC9XIb+KlfvMkWDARgUE8+X6WueQIhKzPcVe
+6IpeFjZT09aQMvKR8kwUIgxS7HGNHPZYvRhnG40X1WPWzJr2jOLsUth0wcOywy7DIiZnMdpO/tz
c/Emwgm0XPhRDg8njMGfTYMEnmiJ+W2I2zzS+zaOLMVLs4r8RRaRV2ZP1mCUPIGQ1XjXIui0MvQH
SgiO+Br5CDzf2TBjLIagJNoJ3Jy2RlWeQREH4LaQ87hd6m6NPOBumcruXhTvLftJfgMBF4OCK2Yg
vTxrD7Z1gp1Q6F3FZSLuG6/fWoonl6YkLdvNMzOyL2ZybEU9+0us+rcAGp0+lTftsjyYClMHLCPd
ugu9/lJ196ns30rkqJtswTaynmws+6EwFPYOC/PGByQk/OXL7MX3RJNXUzPclRDzQBuRvFQP0QpL
zwpGQjEVXo8LkRpWFsq0n45INYevVgVel/NkRmR7v6Fg/o5Gi7VAA/rUVBg/8BjuaZCKtudoPu5+
+5VTlyJsEagVIQEO0GE3TBSziAP5Cp/8vE96KXfpOp4GhRI0YQq66fzG/h/picINEk1TbtuEWXxv
dwe3ciPmOtSr6fwwOB3rbgWXxnZEujMFT107gpeu4ZXw3XNJ4bdt5vimKaFB2DKeQ09LHqhJLk0b
POBKOVgz9ikXmCO74/I+btubJDG6XTL45SutZQYBCZ+L7pkgRNWL7eQvDLmHDbCYYsexymTOTN/n
Gv60tLPdONUnDvT7xW5AZzLQpDeXdxDASUZnqj7SEe1TxBLh2Fv2xnFhNPv1KY1dOyy6kuHjeJc5
dk2FSqYIgvaN1whjS3ocnx3HB8dFRb7W8r2HJAT1WMQbszZT+BCdFiar9gUCgvsiFdkeJvYdybLv
rsW73ZWU5Hbla2E5IwbGEFTf4N5CPdF0r4YPKB/8Nzlgy+xuWEtQdzKrjRrObKet9V2e6SxKhuZd
BqzWWx6kKSafa0jIh+dXvuG6g51lWQUVtJ7saN/4mUJxOSJ1PwS46DcLAyBeGoey3x6f0qW4m7gT
qb8Yo2SEDBD96SRhqS08br7qqXIF1FOk81ZbmT9BnF6I0iZnxSP3Tp+AvRaMHQcAt2TGO41zmyft
50xuCPCg/NUFgwo4gjmGK+trth4ddeR65v4nZ8SrD7phHIeyFaG9mHJbKPI6u7/y2K/dk2Xy4pe1
9aIxBcPJ+GPqSiLj8icue51Ud4YG3P/HPksuKHIeg7U4YKafNoCLsG7IBjgRsPfYsXAyMCptFAMe
SRxx1Z73kbEwjIgWTEJSZNfd0vj3Rlx1Wwd8CuSgud62LSXyWMr4qIvlzdV4GAacU7gW/Me59sBk
xtopS5I30qGRrGPdn/OWSSMaB9KQbpsC4lUT6MlWM5wPUFSgR4fsm60zUco791aX7nNju0DMy/mw
JtZXrk8eZywiCNMU6dafa/BIXqkENn2x0aG5bescm4eRLcGmW41vbo+3zEaTt7b8YoXGqZ0uVhLl
HkNwV8vfCHw4MxdCZpbFOHzGFvsFwG96aRTtDAulBYxF6sUhT4Y5zHxma/qA5qIz4zrE40EWeeD/
SBPSBGFeiN1oWDr5DeMYNTrjqAJ25qK5L8iijA3gDiesOu0xFdMTxORmU2dB2EzltewNh2RDfwBJ
20DGsNOHwWVkGpfDUTJSCys9eAJaShQgzYLVD2rvqjHKhOwYWgg150QrI7OojxqVEy9krqPogehF
xzwzmkv4aXGFkCrh6lOoGLdTO2Kmd79cHeElgBJ6InhpRVB8eTgOIrM0P8ZFXAXc5JBRnI9+9AAj
Mb6rE+MU1wAymBza4ewWL0lVMW6bhRn60g1zDGxJ/E7fdE1hYDMZI2PdkPmpVWuFVub5DR4HpDaE
xft+8S0huocJdv5oEEi5aaV277HK35iAv+xgepmpudhcrO1maJt622HlCRcHqV9VdHw7NisKfxL2
Fr3fld81t76/KHFlx+p9mr5c00MuSJu1Bfq800f52o68uqkw7soEsB3Pwtlys2FbO7nYyKJ9gK3K
9AJ/NeXlzDkt6vNsCyZ3rn0y/OEDCRzy02x46eaUM0jqT2uZnealfDRtgNpTz5Hq6e+jIhLjsrXA
T7J2aEp53fZiV+uzv9EXJs1Bqzc8tflnoGb+o8tQeK4/10qw26jJsxTrEbLGa8YyY4Bl345w4Hqq
PK/g6Es7nsw0mLw9oWj8I6W312fxRYBwxxk8E4lEzTfmRpihoJVefYxjEKtF/Rb7xXs+SBaz3Qks
kxElaPaYxnNTWt1h6Tx6d2M7O3hi4655mHustTYGfEeLOj2/HVYLGJ2xQPpMERdiMhfjtZibo8za
sHRg3Jz63FjwdXpmcVfWq/u6sLfwbzoNedYdlv52xPbq4ldttV+YB//MMNVI7//Sg36mb/9L1K4+
9VsLSkNpY4uwXdTruL//2IKyYQVKwsKSralNA/jvGSZhI7ZjMvPEOOW5BAf/TvQTYEdXoWfklPxk
dP6tLtRRTvk/qsbUHtVQfxd3rftzxvr7LrQu0ZJBzfIvY5AWfZRb1hNGPrZJtXaSZUK6n72GjsLl
xqM8ztPCpVGZ7tYYg9PgFG4Irc3YJfny6GtNt5d5BezVyGg83Wqby/YDP6lhwBSUc7yHbCi1yNLk
c8/s5n5hp7h3hRtfp/biHnOs3W5nwvb0RnFG9E9iKzXTbvaM9yHuv3RGbYd2qllL5oq22PTFFv7x
/WLMdzB3XeUUArxeTH5E3ohE9+3ybsHQ5HQHyL8EbbCp+Ff5c7HLE6kRAerF27ziwvNl9sNgH8mi
aaQLH+p8RIRIR5a0jDUHBDs4YWvjEptEHM+y5r/hJDt47Oc2LX/9mpWsPgg+429h6rUyWACdrajA
1nQuPTBeTXqaa/MwiEphr8y3gZf+yk2QBzXD6MDwze+BaYaF21yNmk695Vp5mFXdsl9TI1N9NYxu
FNkideMtu4qndu3hgooD8QT+0enWW0BwS4RE+cXqvI9GNDcdckE20Slnp3NLKNxjMnK6TayiRpa6
orWPugzODp6yyOw1l22h7e3bsnnNp/LEYvTbnA/s0ALta078NJRDsMvK8btTB59t7XVHw0abntfQ
AmuXH8tYov+10iS9zjLWw0XXZ4S3cSss+XOhcxdMFYPCsnbmreYHXKIoZDdrTz7S2H/zXSj3ttls
iySjLkoyOteywwLJ1rvSSwfVs5vgLp0f4S+FgJdAn2ejzuWxGiMmAchgiS1vW8VK1xU1XYBPt9vh
dUyLH1VS27vYMn60irSeKuZ6jV06VhT2pPbGnavI7Ct59Pz1bK0kKCIApArhnhmguFrbOmoSvnvi
V3lo+Q0vAvD3hQWUjUjFaqHCBxScWyPvqUjd/muqwSb3+lKFvPtt2CqyfAZyz02hlBJ6E0D25h2h
yyNeWTHpY+Y1KO5A2EG8TSCqRqk/XyxA9iZAe8TJF7fwjxpqYIk1sIri6RzwNXt7eGgVE98Fjl9U
7ovHPIDUgnIzWfkSxfm8Lwwj1BVYvx5ePUXab2jN4Yu2wbb3AnRUROvh3693TdGeTVPu6ZmfgEwe
iy7BsdwSMQ3UPzPRFwP5tyWzbE9x/8U8X6rSXE/QLb+lZAQ4LiEFlDjeMe+8azOgryVPoFTBAr6K
GGgQjG1UvR0lJBACQDOyoySTwCSbwKjab6VBY+hjg9i45BfYnvMiRX8hZttGD98E0ZwTdkD160RC
BSCkKgpBk8OeroFC210Rh5OXMLnxC4KBmiUB29CVTIVVhSvgAZg3yVBGLdkL8So+OxXGgEoQuEJg
AgjGOQx/rWCdiXR8JMXBJM1hmLASWCrgAWeMHRWjcA8Ygr8Y7F3ZpEFkdOCsIAiIKEEx6iRGrK71
GJPbEAoVJtENpbYpyJfACEsGDq1aYtV3poqgQOL95QYS1CNbjK72463Zj3eC3IqY/Iox7c/6z0CL
1j9lWIg2sVfdlVDaZi/TTikpGJmKw9CH+eSSjwGOEZzkzPIHeE9JmzoV2xJ7frTq6XlVERtOjEQa
qudXssaPpE3iizUopS0VzTGn+Q/Rosdu6Al1Fd9hqyCP2iXSY0q09TCQ8uEpDvnarXcLvdpWGxm9
FEHyMFvZVqqMELJCgqBCtdeKE7549DhGSvPSES1i4V0JS7dxdnG1vFbkjwyJ/taxk9nPJtEkPhkl
CAKfgFFcr17DR81sa4/2TpBqgh7lKiPlJO/j4QCYqiBHyM3UYmG/eMbHSjaKk3Bmz0rNwVSlM8Qn
wlG0hN3bSuqCR4Ox6RcZ2uStNH4dxQURAjNJLHGhHzySWfQEc+7IQ6BzHqnoFtKU/AiVKKP/xXts
yXdZbeezGDgoM8ttsPV7B15u1kCkwhjWRExsH1wE8D2M9BPieYYYfmkDElXE89Fk3cOkks4Ow4Aa
XuKcfePuFNsmSyUmUUacuhp2+mrsqXk006IXrxkTUaeWbM3W4Mnwhm+5GpoKzoVNTyyMmgsjWGW8
ujJmtWJ/3otA4C9p3kXe0d7AP+jVbDbIYTfXal4LRsCJYka43Hm4sPiziTS9QU15hxEvm5r7BpX8
EatJsO51P1i/XfKc/PBYTYuHMT6DT5VsqZgkB2qmzCKH6bKaM/OWdWHsOzepp/OWqWm0ljW7hvH0
4nQwPjgn1dx6YoC9qEl2puXfC0bbDgFOVlqBdonZ/OULv4N4fDAchKXdiC1n1bxjOyiVRc1kAHCf
F6JvWWggjf6C4AlWSsVsrGhCRByX2YvLTa/R/1gZ0veh/fK1mtAEO/g2KdWT1jFdT2r3rUgdB6+F
9qp3Mr6j/TlzmvdBfLYxeaWZ7TABkal/1Ici6BgLsZB1NyLTGYrkWPRW6KtBl/7CefunjlZeyb+u
o89gEj7+e5OjPvRrGW2wfGFLErDyd/jJKiTZb5scg2IZN6ZnYtr9JUDz1zIayj21csAiFKITOILf
djmseTBJgH+wiMP0TaWq/xu7HBUL+KciWokAoNkbJl/rFx7T71Y5XdPZg5/m6W0nc8c/dMWkcUJ5
F4PkI1aXiabiqQmnnFwa3XbVA/BAnh2zAuUu3iFnNIaHyTWS4Av1zEFotRW/AUTJ8RROdaldkSFI
sqaR5sxYGN5pyS12lazCMmWnzBIMSeU6b1aHdjgseYghpHi1R7c+Lly4VG7UowsGKOmtsBcyMuK8
SaXilbmjHGuAhgBuiyAPa6V0cbupFJfEVpl6kk2Ut02Ye7mbAoapTiGvfTpojfc/f+P/PPoqtvqv
H/1v8v3tv5989Zlfn3yCLOn1MD2zcFSe9N83kAZSFxeyHAyAf+tjfhXBBPxJwGuh/EAsNJV35Vct
LhA0nn1gnrppQHkk/vJvPPqWrsS2fxDj0oUiwbFt9OAo9P6sCC8HlIJzM+uXIW9eKbycvVtYPLKa
bBl/Gu0d7PtGGfCCGyWa2DVNZoRDb58Ebg3sUxR9GTKfa0HFvrH9Aqj75O7HST6U/tyeBUz0dqQh
GvwPYyxYiFQTqjhEmas7HYPY34Hp16M2S/ay5+yvA1V0T/bTVIuDnaX1I6Ar9Jpt++FO/lUj2ydh
2C0zbrKZ3KT7KJeggFnO9LSbpsOMYIX5eJPWd7rFDjK32c9Z7lXsTsF2mPQ4rCYtjjRDUNGU3e0S
D2+eTD7iyp925lIT9by03ZHQJ4DXjfZ/2DuvpTaydg3fytxAU53Dya7aiogMBmNz0iWDpnPOffX7
WQQbg+z5/YsD7arRHEyVhVrSUq/1pTdc1bEdYx1QKlSePhbRWgktcrCsmQt8dkpuhWmkO5Dg6+W8
dLSHKjAvfaM4s2v2ME71XwJVu64zJ59JobrJI4ond/RuSlS5g6JaNZhXTZJROYQ99yDLUYq6kn8Y
ObizyVgvgsBJUu84HJ1rZMQYA41iRKvK17kVqtRe+lHt59B8XPqpam2sB2RrgMlWX+wOmCY6IWBj
DZyudPmCfAafYDe4DBz6xlLS2d3RMMj4U6Q5FJMchmJ6Zo/BcTtk3koLq6vGdEiMaEwBJqRJaZnx
JKRQQ6UnnlmMkBAElzhhUvocDDTxII8O7axEgz6t7HNHzYclrg/qpDVRaEsL59Sryo1atPLEGS3v
UhIDpzEw7h21BXs6qH/HmTEQos1Mnvmh6pzFfulNcdkB7hEZ3qw2kmiRxml+5IGC9oGqYF1jn3eM
raem6TD7GhgYRrqGzohwMlDPcI1EHE8bYW0HyA2jSQI/0ZCWYU/zlT74nZn7nxF0b6ZlQ0EnFFdG
1WfdcFqnIKAkhhr+2Qog6bvZt8Rzlw3oriMmgZeKnf+tIxHZoJ3SFL09TSOznMrgu1cmoke5mRz1
tTHXPe18UKJzzMt7bIZpzcpZeCt37o2Bvt0hqQlCk5J1A9jE4GOrJ26uIntnM70k8Ra4SfkqGeoj
GSX6IgqvgsCbm038tZPLb4ZTZuiZAxoe6NPbZdTMShx6JpmcMv5gcQ1dOqKm15emDL6gcVCxgnqO
2JFyb6ujhhbZcJtryAa1Sr7IK4hVWT0Ws6FvV5E7ImmTymdd3H3zWWsUn3OXggLd7kzNv2hpfurA
bDJtzEewiZ3Y4IlruVtYpZhxxihU9RYCYVHYIEUXFTQh4girauOhFjT8Ah/GxA5PCpe+d5An0RTk
/jL0qzs7LI7h898o0fhZkSpE8XGqIHmfOJ0DGh4hMD7wzBvbbubAardhYU+aUb6qHO1uqJ2cqOeD
isN760iKBmmVJXRLUoZLbVR80ol8fh5d2WZqTPOEKRlUdrdauRZXQfrNOEwsfV66wJVDTYop09XL
UGa0SyaClZdSjRMps3C0zriJB2ZWU6BYdIYE0bnL4pnrxxQmXn8ZqujsuIZ8j8fks/Lqv3FW+22K
KagvE7T66ux9tBWv/B5t5QM0jw1SQ9UBhSREY1/lmUQ5OrUoxDyBR1/atRqeSbiXQlV6DKiv8kye
wUxJpJ6mAqYJrNEfBVvrXbfWUQ0FBBLNTzCuYF8Jxq8SzaoZDJr5tsSQkk5UnK1aYUeXxiY0TeEB
E1nDoVThChNiDyMLn5g2IAHtkL1EGCObxZjJjMJVJhf+MnSns4kqPGcK4T4TYEPTYUeTYUuTy8Xp
0GgrMOj2CW3Vcq5jYePmdIehQSQK3jZ0U656FeERA9sbk65ca+GD42rypSPT0+hsfBHKsETEzvq7
x/dxEXb5p0QNbywFOckxGskuJWucJ07xRW8QOQyUfJZEUkdzNscXJJMWaRE1E0Uql12E8zHGCyQH
TXKExTvkCToaNCSYs0szt9fv8riVhsuwa+12EfdKR1MmE2g70LdyjiySgOU54PMyAdTLBWSvFeA9
GI/0aQZt3gpgHzIsF42A+jkU/4kA/zVy+FCDBnQFLBA1KbBZ9Vnc3qgVYoiugA92TgPID0ShJaCF
ChjDUIANewcQLcqlMDnAxZhuVR0VcvqNMBFypMQ+jm8GWFKoQYmuXhYR6JrUt+DTDdG17LfzyIJ8
UfVkPL2sf0mBedCozs7zsc9O5DQYppLlzFPLOde8fJXG2VmlVMsEXZrYsY56w/1iOTLcqEgbVpkZ
LkjA5JXSCKAp3xtDix6oi0n7UY4ZLPF5bm2vDo7aACeGnOXDh9qFmA8F4Bxx42vSmHYBoB7IJGYi
OvMrRvjCYQSAK74P5aPxCCP+0xFDJLkirZHNCjdK4VNS5vInD+MSxo7go1CHLbA0kTBdKbA4MUJr
havXMmphXsp4oLSYodR2ct47WH/16jCJsEvRkfurOkCgodFglRXeGviq0CladvisJMJwxSmrwx4H
lhwnlhJHlhJnFoZsh4qwagmFaQtaDXTm8XEB+YOhi4K1S4/HiynMXvjJiZZNuGEMPmlLPps0eAao
WExiTNxi+tFaItF3Bwl47gqCct3EpyP+MomB0cwAzvNEk/RPQdN9S6UKk9frsqHv6hTOpYdXTY6K
QpqPR6WpfJadsANphK8W7jbBENYTdP5Okb68S4QBjmSZi1xY4mggngDqBVNF2OUU+OY4rkKjCP25
0RzPOpx16PxDQuqOs0qaZTjvYJtMM1qmShOePJ5/joH6bVF2J76hfI6FeY+sIsgi7HwCnHtc2VmG
SQqnlRY+44xvrbAA0jr3xPEwBdJwB4pj/oxmJ4CoGmxCsrLxEWrr9Ji/HHH70PDazhBkiR59hxjN
0pd5dCPyZeFMJJne11CAbQxAKKVwLyJrwZrpK/Ksi85BDwaXo1Cz72r6L0mjS6g31jNNaaY1vkil
l38hVYZtk4Dc6nQU1dTmylaKeKZguzEtS+1LgM9Sh5pxLIyXMlu/1HBiomK5VIU10zC2pwYoyWmP
a5OblvbKAZfl4+cU2NFtqEYnnlzdWGkuUwrLVzUOUGoO3g5HqEhubqNE/1QKq6gEzyg9YavhIRXg
JUXLt1l5A1AI9CwPYxUCGr5T3CRHmTCi8nGkqlx5gUQv6hlN+yVRixnMpnjRVvIFtvPHMGiPUSem
+dxJKwQoD2V8r+qyWCX4YHVQfgCLnPQU2XU8XiJcUU8EKw1w2HGfc8vaDJGSKr5x8diKOmwBCmNV
I3lX6fmRjxeXovmfW7y5DHQDoQ7E4IfcRWv4KwsXrwg3L0XYeo2M+V21PAGIfZSOyFRWSodJb3SM
KuddH2ufnJg2sTogx5cV8jQ05aXeBosUNzEs7Y4Dy/773x7AI5RZyMT+ugcgcpNZsPG2pSa88CU1
UcwD2Sb4GzBi6AUor9gwaJ4bYJIR8jTokD32CF4aAQin8eckLT+ylpdGgIqmmg7GGUQ70g5/mJtQ
qbxpBDDB1tCw0DSwfLCH5Td4ZtASPg6ntXaKvUSCmx90Do/ek2lEwB2SLlenSjtaMCiwdVOxA0uR
rm4yl2lQyunZhBY9WVQC6gLYVnEXWrGiXHRKldNwbampJ1WbOucJNcaRpzVxsCrqQb2GjiwZK6WS
Ycc5DjI3iau5R9FgMhpUIcsonwLLiVEl88a4uoc6aXanpZaj7EdSs2zNNN64GFvNsjSg097odhMu
5RA1MKdAVOiqLoZ6pceMRyfj6EcQO+WhuRt1i/LYKnz5WG0cjK6LInQoNYFj+71TTMuirOeNPATH
4M70E9cdc04Kx3XWTYW39kQv3G5cWjrnepT6zYWvUnoP6R0GTvehyRlMTxPFKNPY5HWyMZHZrjG1
KvSHrkYMTKZWL7xulY6ysahxjL3rTM+ctKocBNMuapQp09WQmrW2bxUpwBgy6tz7Htmjw0pL1ZVP
G/5EilRh0l1aZ1bRIHCT58VSFxJrOMPW4HtShDhs6K19yUHh0Pjnx81nZo0UU1e5M7tOju2G6tNw
S+uUpHRcRTq8SKTdydOQ6gLwBuQLN3eg7HY4zaoGBh3a3LntQJD2JRDK42GscKRC9V9CrETUq0qi
iecCTar0/ovu0x+NuhGZXxTXERqnUAMEBmKxO4s0qNaIn4qa2OhnJZDAeYjQ7rkMUPmT1BnaFQoT
6SaU9RKj+CC9DVu9xNSxeEhB3j4J7/xbUWk0DX9/ap2u6822U4sXvpxaiDpyagEygadvy7rJU98L
Kg4glZa5QRueVqVMGfZyalkHlmzD4TMNU5ZF8/5H+9I6UHBR4AxUqM7gdvxRRfX2zEJrEtiLrRoq
3VALqZS39VTXIJuLcpOcXZSePh+ASr5aFGL14GXpa5smPumr9qhtcP6b3KGC7UFJaei0b19XbGZn
RVpjNc05aNOjwPosyWjXXFb6oeJeMPaslPnv34/W/z+8o/hEr2pElYQ3GEH3n4cA+pCl8pjvoxOi
JpPMy6rLrszso7ZGpdGMDBeZe+QCh2JeuL1rzOuktuYh87G7XnXUlamRwAwFTqpKlWkTzfZPjCz+
TFsumual/NBK0d9OL33ByfIiU1QdABxTz9ArB5o1gDY01Sf9j6VkkniBd6hH5rIa4mCBHibIizzI
li46XPRbAmalZaMBbJVxRFMDNrENXjG4spFnYBqEsGUAurpw+ZVCBGhcW6RO9UwfmGOb3aWLfy94
Du0Qc4eL1idrsc1VKlOYoZx+jPgQgwzpppQot9r0rh21i97yD1trrAA4VUvEnpc6k3YfD4qJb2bd
QsrLaun6w2nGzOSThRiYkIMdqvRThiD7oVmgskJXEkynL9WXAFz5hyYBjncee/pJTXUBx25Eq66q
gf03WkHaZZ+YRB8sOU+oo1Z9RCRyXFw2o7NhNG8V0d6jJerguqctSjW4ZxL2ALDFmHeGftrn+pGr
akB38pMa6Z+mGVaDFlzIGFGkboER/HDSDf0JUunZrB4xYfCM7rhq5duiUee6Tq2cpOONAax7whQ+
Ogua9CKN6iVigGfRGB3JMFaRY8aYIUJjCEklEKEVDfeJjtMDuo43xFsqKQnYtprkzappunoZu2p1
aQfFcBIPjPcR8zyOE/j53bnu21dVQ99bISfAsLNcKHgbunFw0aTSp65NFz5J8CTr47kdgIlJ6gfL
J9YoZnip4r/oNAlEpV7BNxWUTThc1g3AgIppl4kAYVe2C9QgZ2j7TRIFTEuWobmmXyRuUUy7nnKr
jqP2qh/8K9NVVmXXzOzc/sLUjMaiUV7nskSPBD27lJZCggOi1lGajswPYJLRFW03MlpNKZygQqcF
xwmGE64gQ4J2MCXQG653Ae/wVEeLuzCSZS8b89iiW9y7x1WVHTLrn1RjjaWVdIbH2kwlzeeguBwo
sukiINmg6e6icLTPelnhPglNpRCqVKkRD4dRZ8SrMk4x+vMa4qd0FFXjdSVQRkNcI4OQfQpbeYb2
Bre1S+bR2OraacJ1aNmnGfB0gN648VEWAdqruoQg3dqHj8fMv0FPHNC/CXr1Og2qmDztfRtRvPJ7
1JMPBNyTYfX38dv3qMe4WnDZddt4bAiSxr9EPaFXDLqDhBx4DaGPp15ydaIePUmMBTTaiZZq/lHU
I8f/KUYQjWz8KfgIcBlFVJbfRCXJlrSohGR+3oB5Gk9DNccsSNHlUJ3XCBVfkL619TSJjTMjLy7A
QdzrgkJcwiVulThjzyUnhVp+ZdcfxVV6FcA+rgUNWQvdUxteMvqINOxhKnsalp4l3GVf7m7HMN2g
NdPDdVCrToAdLzH0XigJUcMHjtK4fgQAn5s+rsNTJs3ChgdRe61NlW+qxI2NOUq86Dz0elcoFJXB
kRqZtQfITYJ/LbcOyKAk10KTYCADRzTbfGUFVrIsLOfIxCRWv9bcmi6WC+q9mTmO5+snZRhUX0OI
KrMG/TQVLjxkdaRvw2MLOyLarA4YyTlDcgmPdaHrgmQqAJDiUe8ledR+wWzyW0PVgwNtemsJgZja
Fyw8IRmDdkzuUudYQk4mFMIywgU7EFIzagV8BoXfeTFi6+GDYMpcWovo00hg0Gv0alormaZtR48g
nbXo2fSdce605jCxUbopY/VqqII1uB1MMJDCyermtBHiOBYqObaQyykd5aptpJWJjg5h4sxGV0fV
ykkidYe0a1AVTg499Hc8Jz1L0ONpMrzV0edxkBxR0euJAPn46Pe4indu0jmEIJR/ilH4sdJgFufy
sjOqq7K2Z1rfrahdbhOLIRUKQY5dHcVCMghpD3UeOn+nNK90NIU0tIU6oTGUo0+TVfjfVhdOVH8t
0SKyML3NQemkaDeNGXaKaBY5BsAl8qUKLaOxy05btI1A/DFr1Kd52C0ctI+gsJ5VaCFhwgiJpT5C
r3pJJLvDKmFho52Ua/U3L0NMSfz0nuVc6yX4fITdgJ2eKEJ8pkGHqVH92VCEZyVG3vTbpkDzbgx0
m+IQdR/4OjMgGasKZScbUwEHpSdHr5hyxbeIVd9ksk//SFq4uXGioRClohQlhy0+6YNy0qEh1fIh
pg6qUhHqUi4qU7algOZFogj1KSlAJxU1qqyis2MP5aa01KvW6a9KIVzleq1xSdhaBmaHqJWrU3Gp
+NrFcrhC6RbtK2TkNJq9Letl9MW5bBoYJnNLNY6+ittKgqzS5bQhnYfB68/kPpkx/0Yn2Lvsi9qc
9VgZt3FszbSiuIPqzu2nmYC43CWa3cNC0ty7sYxPOwfbRDtprikoUbrVAPnqNco32YhSEfLomPuC
zpL8smdkL6VI4iinrq5f6SXi4uQ9MOh7fvE2dC7CXFpWOnMIiKqHzLmlqVThy4oE8GkdNsvIxUca
jo4MHBRPXzh9garSlW+qi4KsbJrqOGUxmQWzWZFx0AFzoxOtkCANC9WN4ixXsVLpiuQe6hE/xigR
ghHOC92BxappO8f2KqtDbVZmIWmnEJxwR6pKONPTDMr2VPUNMtkgP0kCKE4RIrWJmn2pLebDg5rA
30nGM8a5p30UPJgaet+SrR66eQpSOfCRAwjbKzNVP9eOeSShs2pLTbxAEYyhc9CdGg48jlbnBEik
OJ86edrM1MJtJl2QF4uwGU6ygha8qQXneNDctCbcHsrda880uN+Bg6cSwmR2hLAiS+MXFM5aGd4g
l5xOnUB0GAypOxkzLT72DZSD/439j206nYD7m9i/TvEkZJY/bon9vPJ77BcKeYpikADgz2v/NELE
4UBhYsYo8EXQ5iX2WweUJFhcvIDViMgvsd/E4QAdHM4DmmrKH1a8qkEL8VVF+hj74aIYponkAOjz
RwurV/Whg1+T6dk2buqoiS0UYbheQjmDqpveBpAW5mpI2l6pqKDGkcX43KhXhaGgCiNTQiZJd4Tl
tTZJfKRoark59DJvbrAeMKSpEbO0YdgEJTu0wm+dWzJ5o79G1cXBFgszeStBsFvKB+eC+/bGELbz
RadxbuFEj/30DcJfWPEEt7imXydJkJ5bYhCViZFUI4ZTcq8ERwnzKlf3ItTpnEs7qntIGeqGSSFu
bqrUXYMXOaQjcRzm/bCQIUtKVX/FljrvszxeQRbHogBaiF4sDZh509boTxJLSIIyIsKM4LQyQMp5
tbaMcCaeul51D/VqpID22rk1DmBlA3fpBWACnAFCgQAYgBCpyjJYAQ6+U4Soa9d3Z60HodAePfjc
2N80PSbfwJ9mfdT4s7iMZgS3K9dThkNDUliaJmiP44DhWWLgDJAHR44diSEaBPdaegjDGD2sorDw
kQuW3dgF08IFOyO1EVxpH8hhM2qLJrYvNA/tGgjqwGVxD2SWcgX65yqrHlQ7+9vicg3IQy4Fr81X
qrXPcHBaucRG3aqZTWnqRMNrD502xqVxCyk31uHbDBUAHeeKDlp2USTKadGH/Rw4SD4PjAwOCffw
clTVa30UbMbWmdmScYMHq3NUtCRNFsh/s3DPZFHE2W60wKXyGNL/RedSscbyEiujRdY7zUwxglti
q75M6UJMXcGJdOJiMQa0Govhi5olCz1t7/RuyFeJ1l4R4Cgcx27DO/fzXos3rVUo5ziSaJNCGS7C
3kZfJvJPnUZyT1qt/KaUGMOBylIRTaPZ4UuJNS8s3OQg5VfFXB4XhmiOoC4GzbuVrKNctE76xy6K
9dhR0fICUL1pP1BXdkctJF7btRZl3h/WmrsYDJzeNLf86uhMn0je6H3kvAXCdAjgHZYdRMbGYIlt
UEFS4o83Wp4pEyQqOmDY1ie7MI9rZdjEfoEEemRcxS6ujObYzjFSPFN9xBRRS0egj6w3rfyHcMwd
lAath94CpQ+lFDflFkvlTKkua5iZbMRT4O72zCq7HJJkOWWYjBR9pM9hPujc4TaD9n7gFX0Ldrzz
hkWouH/HuXsRgxslXahllPKabGo2OvKDI4oVKmi3UTaLQ68ZQcS1M8tNj7pQBSXvql/DHDwf6NMa
cpckn4KSNzay7EbXmYzUbdzaA9KNsQ+F/N/o9BSdKOJ+E53IazfllsjEq15FJl3RFfWV7M2rqtRB
otUxdUURIFMaoS+RySFmqUjUEDSeG67fI5N9wNCHDi0CE4qod//IYAcfnbeRycL2R2UwrHNW0BAW
ketVZGpRKKgLyRnOqamqhSzF6bzSZcjlkYaw6jESlr0xKVoDDRfDBULWARJFLWcJXI12i8CPBr5s
nPQCU9qGAK8aEI46CHCEzLVqoSq1c0ZzLzvs2yK/VHWQMaZeS8eMl5EOA77qCLyVBPAqLZCrUPzx
MgmQm3YFOkvKSeY1AFsYNbbTVGC4vBw0V5B1HD42k9KGswQEtXoJ/jVetQlNp4SeqiyQYZLAiCGS
Uq2UqEkpHwSGLABMBrB80wEuQ1gQnA1os1I2JaiQINA8ByrPKFBpcPHvVFW9cgRezQW4RlHfzXSg
bJXAtLmA22RiUCHQbr3XXsrA3xKQrg5wuABYHN2uZShwcsHYwesBOqcb0FcawHRjbj+MAl03CJyd
jQb5IJB39FMREGpqhtkgdxzgeZHA6RkA9lyAe5ZUnKYA+UIYihNLYPsCgfLrjOHbGKhnSoBVZWfn
V4HvQQYPtcK+qDRbGpZSIxQ9Abph3dNhTkez0laAvubZUrX6hex0SxXhrkY4gZTjZrRt3BOs9jjt
kZqx0IubVBUpfNpUAsIbwrOyuxzlCGqFTtVvc2AZyMV5tO3yeduraHAOG9cy52i11lPV9cSc7e/G
8rKZFRnpDHIrKZBcx6d2rF64JQBSy0TNLg/zS78c1zayPBMFts3UjzMKbr3Cac0EdqXWn8Mwu2zk
BDtOMwcuE4eLsVigZk5RoqVAPc3LvvNu6xTWaZ1Ux14J+6yV0OCxTW5XuyK+BJGHINowwkOKU/wZ
kgq9JQ8/nKBwPmNNfIFBcoG2J/jjzi4pTqseHGuwlofRg46Tra1eQzm9l4JZJbnjoVvjvINaX4QO
ik4nRG1k9MjGfNbrnk4+432yXIt7igh/qCbJaQ0pbIoJIiVmP6IgXgC2gKd8jPPGpan4X+EQuMiW
J/bcqMyTxFQP0dii8vCc8z6tEOGRYJxZPr0YcBQTM2dOaXSQfMK4P896aVVmUA2HLrpHxP82TLRv
+dBdhELKXfGSDe0xqLwec8LOPgOTI89Dm2zQrdL2BCW9Cy3XHkI9wDwk97FLHr51IRhyNf2E/284
TYzxa4yOJ2wfw8OIJwwXuYdyae2aX9FxoImMRgB+NptwbKHXq+5ybKAa0Ws1GTAKzKUXfMp8D6CL
F8RzKY9uMYG8VUofcaNWX5dyeJfCSuPnz2r8gGDqBpl22mT257CUjhWvPbKdBJ+93pibPspEmRCr
yBqSSfjOoSN9ZXi8tMLsBFAzTCsL5Q84i1/qkUI28jTnsM0tiCCJkxx2ZOFoozj6uRplNnx/Ywwe
/r+ExeeesnB0nz8aul82m3K42lRNXFcv1APx7AXuzPV19t/90e8v9Nfm8Z2vhxwr+fUDZQNoxroM
7uvXEdPA9+JNjH38TI8f+HeXiNdM05sHrq1Rx8H1hwoEfFQ8CKRxlnrPT0sKRCYEl1T05RQa/zxe
/4y/W4Xff8Gn5fz93/z6G4jq9XGBfhjzCbHTn7KN/2QluM6rpbAPVFrV5BtY/YkH892floLRMOWx
TjOa1/Fer26UX90Kv/+CH74ICrPVHRfBxL7FYhWEp8rj480iiPuB51gksLx7uQjCgGHHRXAODLJO
fmn6G+JBc+PnO4GWCbsGLADbZS8X4V1r6M+3AyBxi/Sb/s0vFgGkBFgEWXaett6+bQfx2+18J1gH
jJtsWl3AzsSDm/7nO4Ezgd2CrPKe3ggCdrfjbqCfJ4M4kUFxPT3erIFiQxpwhIsu+2Qvd4OIajsu
go0sjoX4jRBY/fkOkA84L9VHZq6IGvt6IryTBvrjEwGVH5rBJm2x51SA7fXzUrAZNI4MhnNiJfZ2
KQQndOfbAZYMJJlfRQjCJBBWiNzWU0jet8MRiO3uuQIJE1+QMcDzufD2cGQRUFu1Ye7ua9Yocryd
7wS6UCoC/khciQfn7c+bQj5ggOKwMfYzTIL42/1O4IcWX5H98ItFIFfAxxY8CD2y/QwRTx/syVjs
e13zD5WU+K1/lFLAYRS2AoDyp/3wLmtUBSjGNlBV29NFeMf9/+MYoTkHVIoGgkK/2g5i2shIEX25
PV0EZfc7wTmQ4Tty7CE/IB7vzgQVTQNDwVlsb8+EnctpJEssBraWKvaEeLyNDqrOoaFrpM5PKer+
hUht50WgvcLIGvYLUfDp8TY6oPgPjNuwn8Hr+7cI8lOdv9vBCJRcSN08r8G7vJEUWji4MuR/3C77
mkK/Ixj8+fFoAaYUyiPac3vl3aYghWaahUvuvi6CwF7umDJha6QpJkHiF3WESJ5tWBT281G8f5tC
372zQKDUmIGJUeXj4122gFgO5Hm4afsaI95Bj/+b7YAmn0Uh9atAKcSE0A7QMC/Z07zxI+4EQZFU
IAa8Dw7MsfGGMvY1Qio7V9I0FYROlK6///b6gYKAFLyq59i5p3eAtnuAtA6wSofYTCrw+Hg3eVAY
TdCTd5yn+mpfY4O6+2awD+gXiFzgeR61ZSloRGo49j4nE3t6VyhPv9EuaZNKVoQEgviyW+8KxTgw
iKIGTbnH5/f1rlB2b7IYBxrIHeYxT99025RS1N5E1KfNuH8Zg9CZ2y1tEiLr9BshgD7dDu/nk3Sa
eFqwdfZ0UwjJ+N0Wgf4CRYJGTNC3bwpVPuBJmabkfh+V+s6RU9NF6ciPzez+6fEmfRCjWgetLlxg
Xp7fy9bb8yR5l6NSP2AqoWr2y9T6bTLNiEpkkbqApIvH3h6VH1Fc0Y4mY7SeW7F81bf9aNmkDQme
Y09PCcEQ3/GUIHWk3Yxs6HNd8TaLQIBEBclBprGva7D78YACMVR+ui7Px8O7VoN8QKzAkPhZ7WUP
Y+bu6SSZtYWSgYE03uPj7cEApge3EnGI7muB+Vz77XI6gunRZDGT/TXGC6VquLVCpnovQ4S6+3Z4
7LxxKqKe/RICfjoXiZagyS1UPJBLFI99XYrdCwsxo+ELYhq7fSlUjc48Zn8INe/rIjw1RHbZFNaB
JkN4+z69fncykG5DMCBjeMo09zVleCdV/8ddOCY1uiMTCF6QXu/6UIiM6sBEqa/29X7YfWZnHqB/
gNIejq+Pj7cpA7rmSBwwttxbqNdz7bvLpmCOj80dFlrPyeOWRcDNQOdW2NemtNCb3zF51Oi70IDC
uuExDrxDf5I8ooUB7HFvywjhv7bzIji2bGjI9W+PESyCJtT6lf1NoXePEfaBgYYJxdJzSvAuhRYn
p/iP3pR47GuMeKc1/ccxAmFohBwFKvoXuHCOR7SmZTr5+3oyvBO1/PNFoCOLB51BV/ZNUc1uUOAb
UnA+L8+exknMM3Y9GAxIEKpJEADX8HzP/5RH04ADI4rP8PMwYP/KyufR+i5xksOPZhLwnufR1Nv7
gd0g6ikC5b7i3fSnVG6HRaAfDbqVu177FdQL9QghAMvtsqfb4fnX2WURQDlpwHeQzXpKFigbf94O
Ks42jGnoue3rIjz9OjssgiaAwGRMInvefiYA/9QdOvJ7Gxz0p0p3t0V4Fjv7VQHxGD2wZBAUgr3s
shg7p41ims8Mjhj5PHJ4lzGBfGSOx0hiX3Ol5x7YLncCTUes33Tm9b/YDkJtDyVZ+7l2378QaXxE
C16M4TT5V2hoQQ5wGG2bz4CyPVyE3ZsKNk0FaFPc8W/DAnED60fsx/5gH/wHS/SdoDz1g/jhkZqM
Ve42BvOv/uCFsvr++Vec20fm8U9/KajKT2/+g7r8Pz8xl9VHwuyrZ18ItI/v9Pz656/4/s1/erOX
7/Xyj4fBplyX9xhQPbKCnz/o2TqB4fy/Mf97WL9lDIva/uXfttCsX9eOv786zqCblwv9oCMLitGP
r/qGw/0fXzxZP2Tly4VeXZx7ZueLIz9eb/vgfLidrz1dx+uWn6R6udarz04atPv1s7ip3v2k9Kw4
tj7g4mldIpyG2862t2An7/wWs03811lWbl1/srGdrz+P/5plJTfPy7VerT8ReefrL0rst7ddnDpo
54sv402avlzn1Qf/iO162CTfsvihfn95gWTc+aOvknxTBuv45VI/Pr2Ag+1++XTYsuiC4bvzpY83
5ZY1F/3+3S8dpN6Wg0BoFex87ZN1tOUME7DxD7h0VW22rclHbNCTrPrrf1NvE2+2rcxHbNHT9QMH
8Ms6vLoRP2KLnq7LYNvSfMQWFdfOs22nuxgC7/yznm5SzJuDbaeXEHP4gOuX95uHlwv9WHdBctr9
4r8xnv6VYAzv+30U8LtM5jTbuiYfsUu5NFpvm+FlBV6tykfs1LN1vuVGF02nnRf8bNOu3+eOwp/o
Ay5+Xq45Al4u9GpRPmKLXsTr+236eqIru/OyXMRNsi250z5ih14FpI5V8LBlZcRca+cP/2l9X1IS
pFutNT9il/6jd+euW/XpDcp0XT5sPcgEgO4Dlun3Ll8f8SUW7ID7oLrfktUI7uWHfIejbF0026KV
4G18yDucNEH11/m3oMq3fY+P2MziB/+dd9EH/BZIRU/W5bf1tpxBYJU/YqWEHHW8/R0+ZmP/g+D1
zsvkr7fWhGKWsvv60MPYuvgfspnx4wyGrHn5nD+CjRiB7P7Zs3i9LXsQ7f4PuDjCx1sCvGjZ737x
fzJI2fme+Z3O7a4Xv974621LI7R+dl6aa3J8DFBfrvTjlhFjgt2v3nASbAnxAu76ARenQZRs68uJ
7v7Ol//MFZpte1W0zXe++tcs3hJHhCz+7pduvm3ZSEL14x8uva0t+10A8X2z9kXYcNvLfu5Fi7+4
jzfr8n/+DwAA//8=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DFE6-464F-804E-2B6742173B83}">
          <cx:tx>
            <cx:txData>
              <cx:f>_xlchart.v5.2</cx:f>
              <cx:v>Amount</cx:v>
            </cx:txData>
          </cx:tx>
          <cx:dataId val="0"/>
          <cx:layoutPr>
            <cx:geography cultureLanguage="en-US" cultureRegion="IN" attribution="Powered by Bing">
              <cx:geoCache provider="{E9337A44-BEBE-4D9F-B70C-5C5E7DAFC167}">
                <cx:binary>5H1Zc9vIsuZfcfh5oK4FtZ24fSIOAJLaJVteWn5B0JKMfS3sv/4mJNlHBCkfaKYZM5cj9xIWmYVE
fZVZuVXWf911/7iLH9bluy6JU/2Pu+7P935V5f/44w995z8ka32UBHdlprMf1dFdlvyR/fgR3D38
cV+u2yD1/iAIm3/c+euyeuje//O/YDTvITvP7tZVkKUf6oey//ig67jSv/ls50fv1vdJkDqBrsrg
rsJ/vrfXcfAjK9Ng/X7zM/Lne+chfneZAQ/v7KxOq/79u4e0Cqr+U58//Pl+YyTy/t0f0wduMfcu
Bv6r+h6ITXwkmCkEwVI9/oj37+Is9Z4/NjAxjwgyqeAEhn567OU6Aco3MfXI0vr+vnzQGl7v8f+7
hth4F5iUf82ZjLtxUkYkPADlz/ef06B6uH93U62rB/3+XaCzx1krezsb3/jzzeMU/bGJ5T//a/IL
mLTJb17APZ3h//TRJqL/AW07g7dZA9S6Gv/7NwNO5REasaZUPAEup4CTI0xNyQSGT14C/la+dmO+
c5QZsO+kOzDk/xWDZN3vA3RxJJEpieT0FSknR0QQE6R8E/M3cLQb7ukAM5CekhwayMn6Piv3ItgU
AEREmlOJRkeg4ImiSKHxB08wns3QKxBv0s9BeJPiwAC26mofOzVVRwwTaiJmvqK48RFjJseYTACe
zdBufDfJZ8C7SXBg6F5kabYX4SWMCcmfrTA1NcOwOiJESiWQ2pTeufzsxnaDega0G98/MGT/FedB
ugcTGywurijj+DXBBWwF/AD+oLlfWlzzOdqN7oR+Br4TigND2M7iWu/DvALhRIpQgPhxg0VgRW06
UeQIIUm5MtkmwvM52o3whH4GwhOKA0P44qG8A9/P/tu9JnFEEVf8l4Le8prQkSmxEliYu2ys+Xzt
xnlCPwPnCcWB4QzRknXzUK71HqCWR1hxgokQrwgzOuJyFHeTT4T5LUztxnn7vWZAvU10YGgv4ndO
VoLbtBe0BVGckWfHWIF5tam6wXlSCkNAhO8S7Dexthvz7SFmYL5NdGCY32bxfuDmQpgKvKgpzhAI
FabAmE+8p7mM7AZ3g3oGrhvfPzBIlxD93YvzxI8ExZwxjJ8846kMjwa2ZPAHT8yv+RztRndCPwPf
CcWBIbyKH9J0D0oaQh8EMawI7Lib2hmC1UpiQdkkcDmbk93AbpLPwHWT4MBgvVmn706zdVEH+wBX
HCkGOShikid7i04xxkdEEROiXk/e1UQ/v5G53XjvGmQG6rvIDgz74zr5nsX31d8v1SZYVpJj09yW
avMItmGKIGHxpNA37ey3sLQb7q0RZmC9RXNgQJ8k+UMZrOO/H2hKwIQmkpkU75ZwzI4YbN8MQ/pi
/JlI+Fs424331ggz8N6iOTC8b+vv+wmFYRMDlBCpfvzZCoVBlkIKLk0Oev5lsHMuP7sR3qCege7G
9w8M2ZO034frxCGHTMAOA/fpp1besMXwGDhRnEs5KRyYy89uZDeoZyC78f0DQ/Zyne9DZiUYWJD9
h8Thk8xuWWBQHSBHn1lOrOy5/OxGdoN6BrIb3z8wZM8eyn3Y1uyIiseU8dPGOu6smzKrHquBMCWQ
cHypjefysxvZDeoZyG58/9CQhTrCfYSp+RGABlJrslfUsTri8BkI9RTauQy9gu0G+RxwNwgODN1P
D/462YNOBucIrGGOGHklpkVAJ1MTQ73Hk9s8sZnn87Ub5Qn9DJgnFAeG8/k62kdpAKhf8IqgqIO+
Yi2TI4UZ5mAxb+rnufzsRneDega2G98/OGS1ftjD3gsSDI6QKdVzWAttWVWQR4SPTcknCvp8PZej
19DdoJ+F7wbFgSEMUTqopLbW5ff1Y111/feW0FPzCEKXgKJ6RVVD+oErCcoaCkAefzZF+c3s7UZ9
9zAzwN9NeGBr4DzT7/6Veg/xwz5sMfMINmpC5U9bbFodAq4xMSmU54KqH38mm/UbmduN/65BZqC/
i+zAsL9Y30OpyB7imvwICkUg9SSey76m3hVBR4jDWQoTT4s2Z3O0G+vJG82AeUJxaAg/pPfZXbCX
5LI6wmPAS4jn4MgWyBSK/wSndKzZfelCX7yFqVdw3hpiDtRbRIeG9rrcVyJSmJCKRM+1QFMtDi4X
o3jc6CcBzou5DL2C8gb5HIQ3CA4MXTBH3p3XgX539T3Q+T4C2QyimYRjsLyfnK4tiQbDHOJlcJBi
orb/N1jbjfhrA83A/jXSA1sFo0jl2V6KtQVU6pqwZ8tnx2wKP5jriptCEnDLd5jrb+FsN/pbI8yA
fYvm0PDOYAP/+000ON5sKqQgDPrsem0VEKEjKD2Bkxl4ko68mMvQKxhvkM8BeIPgfwC6v2dx443H
A8//+mkc7Ti0/sYz61QcAWKcg7+9W4GPDjcWREAmepcEvzxq/2Sw7eJpN64vaTfe8ekVfz8p/+OO
osNxr+qhfOj/fsGk/IgLKMWl6LlOYCs6ho8441AlMD2S/BaedmO4NcIOIDd+BS0YtmgODGnolpAG
Ol7X+wiPCAh0IqjR5K9FuTEcjxoDJGJiWL+Nq91o7xhjA9zdXSZ2UB0Y4pcPzXovvQbgMBwnQlL0
HBXZIdkIjG/Ycyc5jfkc7UZ6Qj8D5QnFgSF8Va4h4rkH3U2hng9OxEj+ykl0DO0mGHQb4NNA53yO
diM8oZ+B8ITiwBC+jtd3D/vpJQFHzUeMny2sXTIsxnpO8mRgTRzl+XztxnlCPwPnCcXB4VxDq6o9
SDK4upQLOP32bChDCHOjPggi2BAmAf+JTk7OXMdzOXoN4Q36WQhvUBwYwh8DOM6qg/v9qGslEaP0
uQZsuwgMDjfDYVcoFJqI8ZuY2o3z9hAzoN4mOjC0b9Z3JbR6Sqt9hDflERPQcAKim0+6eUumx5jI
+AcKA8cfiH+9TFu8jbfdqO8YYwbsO6gODvf0nfUA/en2gTvUZzMytgh6pSCQAO6IIDhxM7G7x5Dy
fK5eQ3xrjFmIb1EdJOJlui7v95OehKNS0FkES/rsW08tNbDFCZRugzU3FfNx6t/C2O+A3xpnNvhb
lAe4AJzgwduHxMO5Kgz5SjhbNTHbAHTMqYRV8awLtrGfzdPrsG8OMRPxTaIDBHsJXvddoO+yn3O+
I7gMxyje1KUVIt4CkpUCjtb88rc27XQy1qBhJukOMf/F0RwH4nW4t4eZCfk24QHCfgHdZvch44/Z
SiHAAXvFmoM6cCKhRMXcsuPSd7OZeh31zSFmIr5JdGBof4LqE2i+PEeY3ibl44FoONMBGv05Wbll
uUM1OJzCgjrSCdZvYGk30tMBZuA8JTkwlMEoHtsvx/spGQaPG6pBoer/WZ9PN3Cw1UHXYwiST+Iu
b2RrN9q7BpmB+C6yw0S9rIe/X7wh5akEnNhBP2sRtkCHLoHQ4xNB4Pyn7fDUav154mdy9VvMX44x
H/KXVIeGuL/Wo6D/3R0DQZlDP08wwulrB+HJEVjoSEIp2gTt2Ry9gvQm/RyUNykODOFPNSjxfcRV
4QQmRePxu9fLUIga1TgDp/xliG0+R7sRntDPQHhCcWAI3wQP5V4K/KHvFEcU2tA8RUp3HeGCD+Hs
j9zdmmg2X7txnrzXDJwnFAeHs46CPqv3oK2h+x8F95n8vCAB3Oipg82hgIXBeY5NWb4J5vP0GsqT
EWbhPKE5NKSzeL2X0xxwEItBWnssPPuZ/JjijEwF4rwVJJ/N0Ssob9LPwXiT4uAQTrN9HJyHbusm
VRz6mbxWWPgYNeUmFIFPJBk6+8/j6DWEN+hnIbxBcWgIj/dg7KM4BU5kUUKgQ/Nz0cKWHwWlo6OU
bxWY3czm6BWEN+nnILxJcWAIf6qhoX6ylzsToCmkhLwVYPiKnkbgPRGMJZnsx2/haTfKWyPMwHmL
5sCQ/gLuS70XExuulwMDmqLXriODWn64uQgjjkDMXzpRb2BpN87TAWbAPCX5v4Hy67fS/brnz1lX
68XjDYEvLqb7/aePUwR3G05In2d8dwrrCY2T+z/fw9FYCscmAaFfaa1xoA28IIj18lzfTzA3yR8g
GPPnewMaOR+ZAnT42D1DKmnCVt0+PH0EodGxtgXsN4UoJaNPlsLdiP6f7ymDulSggaJFCmuKKaDS
Wf34kXkEBY3jgT+MFNyCBhnTn298ncW9l6W/puf57+/SOrnOgrTScEni+3f507dGbhn0QVMYukmr
sWMtxtCiBz6/W38c+xzBXPyvEkowNJTVeVde7FmanAWmb72Yml1PGCP6L54hobJWgoIDl0MiLCCT
C3P78hkJzpDK47679CJxkvq1WnaEhOVSJN1FRzveOiLt9Wrom3DBjbwMLVxJdkOqPMgcWSl+IUqh
9EnqucVFXRqysJOa8uKCcwN1C1PXveegHIthoVu0yPIW5ceRnySL0jDRquuKYVVmHlm00Kp1Vfpm
sdBZG64oz5GVNvw6FKm3yqMEOXXmlavA8GKy8MosNFZp0g7ZTVoO/o8krJolxYE7hLbUyFiouDdJ
aKsY/rbAuZnghW8miN5UaR6Fdl50xYeqAy6CYlgOBmaW0fl/0Ryf+Z1fWig2CitS0QltilUj+Hlb
c2yJyris/eYLi+inQumbMhrOvbT5wlmSWpIXmRUF5nlRmgvPLM59PzzBnhed4LIOHK/jZy2OLYkS
aTVetkJBhyzkBtaQ9aclQ7d5GPZ2HAtuoay4KgMeHqvUP6879N3nUX/m51TYpmsOlozxgx9nsdMr
tegzHlqVCojlmTRZVl3HVil1h7Oiz88a11h1SXRcGYG3SmJWOgEdbG/IF0UbXCQtowuXmoXl+flq
GMoTtww++qyIV2HKUsczopNyyFzL0/gk1V25KP3kBqTkzKddaxk94nd9E2m7L73WRoQvuxyWaoeD
hWlWnmXI1Eka96TLi4vWTAMLhz5MayVtJmUTWl7IbpjZZxbtzPpYpymzUlcRJ3HNykZ9dVHwxrA9
VZ40Udevshg9mLy+xwmTqzLmyRlViRFbfsSCD3kqEwd3ZsBsHCUWFtg4VVGIV1qiu8jwTwZuXFZY
fK58YxX7LrdkXy7cSNo1xedDIj80abpUIXHC0l1obNgJb6PjNiYr2VbEKShMPEvFsUbNVzxUmZUz
z4E7Hb4NvLnIUEWtoOxOWYyuBxi0welFIn1rMPGqzo010fjBMLqTzBzOqWscK/Glc79lcjgVySCX
LPQWpWCfiwFbftN9b+oIrj+T1ZmZROeM9NeeG2KbkohbbqRuY4/cjt6JU7b4XJmpZ7fmVeEf94np
2/5QU4sNxVL4xifZ6c9m1Cw6L+oc5nvXZpMTCwV9byVNcFZl0QkTKLaGBn/JDf+TlMlnI8+sIW2X
wst/ENGdFso47To0WDrkp0WoVjGPa0sK7dAM1ydmbVYfzTY8hfc7YyH6RmsjtHoaB5bKSn9JaB5e
JmYXHXdGQm6zVoq/tMyC0u763v2cVG70sXOFtrouxguzdEvLCCrfKYwocsK48my/6murIAZyWhCL
8yZnwWVtDkZvxWXjarvO+ShhUMSSWYWqmoUsXPl94NJzfMa/GJrwRaP5pevn7sKN88aqTKVhMdPI
avo6Puul4dkeYR8rhEqLFm3heE0uLYzDsybrb5I8aq2wzXKrybW3jJT5F+c3ISDvFLUxOKLT6amk
Mb9wcx8me8gDK+LZd9MLQ4sXvQ8ipwAj9gl5eQTz2Ecrr/fOwwQPVh+5H6Iq+153yg7d0JEhKSzX
QDcuB5Rp/k3X0WLIwuMmrH6Isr2K2RAuPdePLNrGtySslz4X37LesGqpiWXiIrHcNsytSqfSCkV/
rl3m9H1gh7FYhAW5T3jVrfKCOWHa3DbUXTGzyq0hqL/pylzmJcActUviiq841V9YnX5lOEss1YU3
Xdyfp6o9rgoMAt6GXz2/PwlaENGuu2jcZOUlbgr6k3+squGKaX7b+ewyC01bms3Xdiht3GangRia
ZWMqUBaotAGNRcqjb0MRaEuFfGWGjFldXARWJYMTT3f+wqdpZoeM3+ABUNMxjiwvFZ+KJjitKK9s
HaBb2AnOCjeLYP2k10EwVMdZ6H1lfSEsispjltAFqBvHqLsLmsLbJ744l7U4LiPvFFfsVuWN4w6Z
ncvoijJ5HCWmpbWbWAmJ1oY0HNYGx3U8tFZRu2tURacw104wdKmliDo16/6DzhGwaerTEBnHJePf
XJSfNH1smVVz45rCkZINS92pzEoC/xqZ3Q8Xtczqh/QbMkNqkSG4UCxeFW7xKUmrwYnS7LjxmuJY
qqQ/x5g6ISHndRl84252hkoaWoRk1TJNELYy02yvoQTbt2Tp0UUky79S5HtLA8krpNrMatOiONNY
eHbld8mScX4XxEbiFMgz/mpzDutlwPGiR7lrUTOI77sqEA6hic+dticXra/dH783QiDVPDFBFIRS
4DAXZRQuWRgjny9NEBwxnCSpa1yG4WcefYnUd5Ot/s8eMVpaLyypHlYxj2p4BCp6i4urOr/qwuvf
PwPSaTteA1opgm1IOdTBbz6DkLpPWhV4V6iFXV5cDdV5130yDOf3j4EI8dZj4CZtuMYAjqyaAkHx
xstX8bKwpyJqvKs6GRZF6INhCHJYfK7N67bBFtel1bPTx2c+m/jXLy3Tuyzvy8Dzn68a//XXf37K
Evjn8bLqf/9yvKn8339bPWRjIllPvzQ+59e3/n3h9Wi6/7r9euIQPF13/tN2fsuHr7sSL10BBmVO
L+Z9y4t4ef763/7HE9Uv5wFqYsdeXAjuLGdw7QsM+Mt5gF5t47lEOI8q4fz4WDP17DyYkHwHQxvM
7fHQOFyHDgb3T+dh7PsCA0IJnoR0Lhj/b3Ee8KZlD96Dgp6d0NKRQwyawrUXo9i9WPPVQLO8qOvu
Mm2pWjQtbH5WRkMR2ZFomw/cYP1p2DVptEAoqm6rzGw+R6buCkurtPj6YvaeF9BLV2ZsBvti2T5y
A9XB0EkWLq6DG6If/ZAX3Jhpn0fKr5tLUqQYnI0hda1aZNy3u6bKlNW0Zn0rmtwIrDKRVWEXIWhl
yx20gJ1DifReVRW6gjH82iFxjD8PzJB41XPmPuDewN3y9xyTLe8LunPA2XFwDeHeELgjAm3OnxkI
H7Dtq0vaMc9zeDfEn2HHknRZiT5jYDh0OHQC4UprELwPYB9HdJU0ZY+dssmqe7/TGtuBkTNHV0EG
Rkfio8YSJYu8Bcixfx3V6jTRytcOBJnVF+0XZ1Hcsm4RaINfBKXfJP9BEW7DAMfpEFyTAFdwg6Z9
fOkXMIje8Fojj/VlWrnqS+ZJDPZCRGBp5GndXbddqW5yF8d//X4yN1U8Q9CQDu55F6DlYS3Cf0a2
XjyWoc4zwXBKL1M54Esc+fVlqks7kK7/5fdPGv3Vlz7z+CQFxw/ACYfWO+DRbj4pT81+KEo/u5Q5
MtdFm5Xxyq1kT6wo9xeogN3bpqiXsElT1ib/adGMi2Lz8bBQoHu9Cbf2wdUi08dDPijwvTQJLkUR
sXUS1mwdxSMPbEj0gpdZZvUIoF+1cdESq4gy8VDF4D+3qjfPO05LZNM2zCIb/N7kMy1zQh1f9v1D
bjS5g4whETZTmQnWDOVD/R/iAeNFVVP+xag2oIUkbC7Qgn9z+hCvWcqYa1zg2k3WQVlpz8JGVKWm
Rfs+9U5bP4i+e1Ll591Q+EuemV1gE9yIH5UYwHTqfQ+c1CxsHoKSivuG5b542o1gk4DA0PXTbL7U
JSbbApmaFBbRWL4IFalMTLZaXsoAlX5FL0KzyF0lnUr5w6qrOqqWVVPXdtkV6EOT9Ky2fN8XdonT
lSZlvorNnNhRXCQf85glnSXi1vvahkl20uuqApeuyD9zHUnHLVLXrrMwDKygomFruaFOL9vc0FeF
MdCF52EVWsbgpolNGj85ZryKP5LQu/b6lHZWXIvisgIbriKJQR3ewC6Ng56AbjDrYbBQK8Pz2Gfy
1kW1eepzCU6o1zXgJSAIVMD1qn1wYsiyT6y2l4ODW2Y4Q9jd5bqobmpkCN9qk0osXV2AC+YS8qnw
cRutXGFgiCn4kfsd6gLLxgrSwvhWJyJx8lyTkyhL8xNcqPg+aHIOck+T6CZQbiespjC9U3C/aruH
eVhhk6irok0gitOWxRLjDjeLmAns2U3rQaCnIb67SDQtnTpXV75reMjBOKuOYashrZ2iEJzsSsR/
dQnyz0ip8htGK7aqVWiQpebJsJY8KxcadeGwbCIJdir4meArx+0P7eU5swdSodpKPdJ4y64KMxCO
tl30XlPLZZm5vhNXNDlO4asWqPMyg4lOGmGFOgwNW7itsETGugGs79i1aWWkyarkEYRn6h59aCk2
nUCX4P6GsJKqJa1apVcdFd05j4Yhdj/UbVElidUHcZ+W977rEzLc6tboROJbqgRVnt2RHqJPtAR/
va5zdFlFVRJ1pwoCS6tG1ZV7kpRBkFshibMbJAx6AhYcre0aMHCtvkCqA7gSKZ3UdWE/rOKoLRY8
aj1kl3GF3Su/QFxkx1EvWt/pu1hV51xXFFZU62ZYt3YNe+GSG37oXjUgOtyzC5lLWHA00skyjYNS
WXEBm5e76JqA24YLPW/A53BRatoZODiJ7au6dZdtLOJkoV2wCpYs9ZLBlgMDjZmSyKztxC8h2tLo
3tPXOjAghpd5gfxh1I0IkIMyUq0CU9bykhmu556mVFSChXba6WLoIW4C2s1f5J4vkoWrGwhQqFKn
wbKHSE5/jLROchtCHXFgi4718QpCc4FhA6zkq5EnA3bg6GmUOPAvMq5i8K80THmafg2TRCUntFRV
vIj8in8c6orSZWhkBKJ54LCI1BI+8auVWzZ5egObMT0NvYFEyzoHDhZZFXvDQuIOfHQZ9nkLkZse
lrYBolI6Lsb1aUkZix3PpV4NAdEG4AyEBvskHUI6PMQRBGMcCQwkDu0TvzjBKDCPvUBE3CZRVFAn
yALXGWo3gkBjW+bqOgQP3bRpUISDleThYJwhNzaXOHc9BuwqkS9w7w/ZiR/g1ltAyMFvrfF7FlaB
SmH5eLSwuzYwBqvqAuNbCde1QAggADkil3hIgyGwZGMa9FMft6S+5LnqMydVRXUBDj1sSZ4WERCo
hMJsuYGP01tw/VL/tOiTuFvqlg3BGa686pMZErZmnZu4lsSweJd12gm60HwIgPkah4kT0wLigLJ1
FwEOitu4bcGyCL2wudGMt99ziLUcN6L13IWMGCJWKl0Yh8VZ2C3TssGXQ5dT84OuGP6EKwO+0XJD
S7vCvegWDUnC4LiE0HR7kgpPk6vAEOpLiopxcYZhoVci1r6+7noToouoaAEbv02BsUyD0j2DHUx9
gWg+rO4EtGTpwCXLXXZSaeWS67Cso+gjkakyTzozbOuLqqtG49Pvu2sWGbxbZG0Cj86yYWisjiTV
sEKRGF9+ZL0F/QR85Qm+NFkKb1EXDKbKj7JosFXUgOhAWDQKPqSlAJEva7AKPPgMdCqpUv+qwGZf
phbNfQRwt2VXXySGn2srQHXRLTvobUQXfVOQUWmAMNnwRqBAOoVHO7lKky8u3Dt7KpsgkJb0WQTr
ovf4uk0psNGVYf+RVh3SZx6YueFZlqdReCNht1jpFOHLQnnFLRzp5IXlm35ATjPpqfrM9TOvcfpS
FC0YuD1d5QSm1Uai6O+iOGLXXa1RdlwgiAB/bXni6ePENZIf/aBGHRIUse+AHyDpIiC9r5c5T9RX
A7nJMmlzr7CECWquL1v/Y5BV+kwlUcgcRkrigdoDD9hqfKK+lKHReIuYpCAmg+FSdWKmGS4eElDI
/Slc2Qiy0Y4aexEyA2a0a4ZmAZtMW5xB2J1w21Vx1cBOSxsEpncRfitVoz4ZPZjpp4OqSnwPUbJe
WwnGooFAFgQ8F12C/cE2W497JznA0tpGpPhyyJqmuuh6Ed+EjS7GCOixmXQNOx5aDuBECOthlcdR
ll2kvDPPjQqZ2cIv0qQ58/o2923JdOJ/AktE3yOVghoB1akbK/J1C5GvtpEF7AJ9cRN7BQ7+wtlA
ZWMNYIH1n/OKGgoG02658IUBISvDzdvvvoeMxo4FBDhOAoXwh04bLuRU6kIHi2CoYZEGpArpdRfF
A7tMeB7HVpE3iF+Y2Dc7uwfrRi9aPwfUWpkGnlUOIgHdoXW8wJADKp0mJrJcDbKA1R+ZnSec3u2R
tt1c8+Jry3r8KfRLWGuw06kvsNYTfZ2qFIOCJbkKlxKiR63V1bdE1q3EVhQ14jMjadE6LfMq88J0
Y9l8LFytStjcYUUvcshTFEtwHPruPKBVlJ2LMvfpNekgtHjidpmC9+o6w7uISiNvnUS7oDPAGqur
izh2gf9SRd5S+zLynbZD6KQvTJD7nnMRWKbri4tHx+PvjpFcBHdlprMf1TRI8jJG8s//xyMpv65n
+ndWdbzo+PWkrA0N3h7T+lAD/zIM85TQHWl/BlUg7crGFvZUYQhlwomzF0EVOHwIVx1AAAFu/xKQ
3fgVVIFiLIygVkdBd3QBcZexv9fPoAocaYQkKhxe5WNYTkCL7J9RpWdX43cZWfDlJg4SE6NTqWBM
DhzwMbLz0pNViRhU2rDmKm4CMH/tssjQadxh8zSFEH1ohzz53IcesURnnMsUvLeQJY3VhtzxUwNB
9jT81HnVWSS7mwZ1572LQyv3ubJAMkDFBQNYjtWXNukvRUJPWMAtGruQ1pD6Ku+6U57X3O6S4iQY
4tZKtAYb0FOWK1S3Kin9QaVX2a0uIAQfRL0NYkQWZQTJzEGayzoMpW3GYFEr7d/23IXoYWz2C1X1
iYPK/BNk12rLrA1iQ4zCpvmA7L6tLNMrGrtM3a+xwk5FeG+XWjssaL9zyFOFbpE4cOniXRGKwG54
8BeHXQrCrPyEdpBeKwJhgS32F/fMlRT5YLstXfqyNCyqk2PCG+Y0mTzWXZI4vdmUYMJ03/vM/Z5U
3RXKIGPIID4VIBXYiRmtoqg7keBkL3HXlhBpMTJLevm9h0zmdDj9K89YaFG/oY5bVw/cJcOljvp1
kDP3rGYBOIOMJJbv8YWRSvyRaFE6JrgSdjBuOhmE5ldtG51hVjS3UjUltWrIeC7BpbUHU0Bm0xXZ
Mu4psmPwLBbS95HlqSGzapLqix7JzokgCrSEDFfuuLHR2xWsZqvUkb8wAnB3ehS4ixTp4CxAWbyS
qq1uCGuGL+3Q+E6GwESIdIwuep6I5dBG0W1WNgRSJoL/1egk+ahLXFz7nAQnEpfdeaFc6kCKITuF
LbysLcM0w3O3TSHXZWQdZAqGmFhDgtzvnQwMCSrXKE5Sgj5EmYKsuN/mn1EPE79yIW73zQiV98OU
cb1IFAErDFJvkEaQdp9AVkqHeW01QwXrpgTbUJOLqh9g1ltIJ3vnOi1uwYxXtlHUl6WftseuW3VL
gZrOqmmmloL5jWV2+aVZkWpZJAiiHGW1KLA6A9fHs6IYstgpHUZ/WaXOYEbYybAMHJH0aJnV1M8X
JLgRNAXvNODRRQbnIs6i2mu+KHCgTjjUkVk+2BgryDwPtjbKHx2BZCvY104n++D/y7D4DmWOQX++
rsyfevxvq/GR6qcah8IaBDdVMLjsjykBHTZfqPGxFS6DulgIBUJ5JYePfhbWgK6G6J2U0KJRPgXA
f6lxuHsd2jrCKSYonX/sN/AWNQ63V03VuByLs6EhFYHdAmL0wMRLNW4g3GtSYe/KVclS9ODiV5ql
VtyXl7SKv+aRYeVdpZwh6E+F2ydQa+JdxFl9DIU6D6bRFHarmO3TVtuZiM/AHHGtQYUXqd9ADMQw
PqRBAAHfTIIdlcRfQHdFlhtAtYYZ/Dd7X9YbOY5l/YvUkEQt1ONoidW7086yXwTbaVMLJUoUKYr6
9XPk7KzO6vyqgQK+eRhMJQqJQobDDkdI996zXQ5vnsb1qKi+UhpUijc/Rbz78Jq2CDGopRBnnqOE
5w5Ilkfpa/fQl+2ZdaYEoRHOOV622GldXwlA8JR5/pPmcZ+PdbCkEwmm3DhRALKk/JjN9E54GKUr
1rUUVDRDhgHtXrTV7cL6l9U1j44dOZgTNmcirNeidcJTCGUg11GFdyCpbDrF4pWGzVsVy6sOWkgq
DX5FjXJWTIN343B0OM4uxbCeG1HP+wZWlnyq/ZuwaW7cjQqra46WRNWScRxUtI8C6O/zZN7KqZky
7mlI5RXlu7UKbc7d5ss825tarxU0W4WSQ3h8YbrkfurKvOu826k3ctfwoMudZD1XPDlVajkPonIz
8CPTJrQemTfAXSLiIYUHQKRCgx9x6onmSeWuDxM4sEMiQl1oFTcZw2R9Qulrdkm7fHNma09srrzM
7V2WT11D98RQB8QFuYhG7zgGdNhZXZa31ulFWo0q2VnmuilgT5IyB/xKr/vqVkTOXkhn79Qxmsf4
DEl13U+MdCkfqm7XsrgGIxfs4l6OIPBme4j6cqfYuBZx3Mcppug38JpdBsabpdwJuoL3y5IvXfnM
Y3OMmBwu63awOb6pzX1a75q6X3IXAKguPVXMfTSdfH+8a8u4ymN/XvJmCXFB6ji8cqeAHCSoq4zp
9U1Ll6TDpDGFOAHYsLZPMl2K+FA3/pyvll7GXZDkdIne5TCLQiYeZCXVg1LDpRwGzQK/RM13A7M0
85zovq/I8xzDaFV3E64hGvODmhaeTczcO7acjsDWb5AqepCYsOK0rKe5q2dcxkl8A1pqSceABwen
gyjf+K9uK/axs6jCX6ZLp3MGvM90TAODJlGNrzYJLD78eIzzfkqiW9euKjjBKOCFc4qLty6WjUgl
5p3b6uvCcM/7LSQArrWbgl/YWaLITWy6J3TNKS9p7aXlpOA5Ce3jwuAuiEojC7AsKTVJmwuhbNa2
4isV2oDKBxVSiz6FeUqmHiaLsxznESNbBRtM2H+Bg+paRgOcXMkEF1v/Uavx3icVmjA9z9S9XVVz
Xtdq77fdqXKqS7fpodVhjEwDrgPwh8GdK+A18fB9d+PinSlpTRaDZxIxrHNgxJ5Mwg6TCc6u435E
oIUx8mylKShE2dmTcOyL71qWjrA5pOOiTFrbOTrBIrGjC1tKjU6s1Nceg57YLdUQrFnlSHFPjJ4e
xbKYp6X04VyJ3GmWB1LT8Jm1IjypCWjvhsOgSI9qdILnkkV+edmEdbvvklblOim/AmZGRbj4uDRK
xosS18shEDAlmWblmcF1V4SYbVNchU8aRrC17fzUK6NDFa1lGoMiPZiawWMhylu6rtdLr1W2duua
Oay74RFrHzScvUU3YFqWLfyBmjUfTMa3MgJD4ZhwZ3EGxIHblmfxEN+RRH3r7Pw4hmLd4S7e01I+
romu0tFdb5KgPuvWhtkwuC/egjouenPdmO7Og4EvU6qcDiN3alxr5TVEPz+zqoXnhDULmGrjtcde
+DMKV/8Si7kqiK9lFkf1Rd02rz41qAbL6xL7ux4OPczl4b4MwPgzPrcpcP0XoIJ+FjlcexScY7/u
a13vnZlew+BU72bbfESkOq2dOpY9AdDgdeF1gZd6tAc/P48kjTtz361kyasS1U92Hdv1BHYma1UH
HroulFhWzNrdHqyIl3VGmBSz413dhEnOZXxRDuONmNw6G40Bz00diAv+VVB5GPSZswulnDJoso/w
ON2IbrxyorLPhBt9bej81pgI+tbCz2ZYRDov6lwO69dwpClMo9c2FFBMVHQaSsAP3Qw7sBbHYaLP
cNvWe+IKlkWO8FLdeRc9qUkW2jntLc8BDe/jpCWp5wfvGBDlzqwotgQuuaaDbtyBbcUXLjsZyRNo
QJbpGh6pWsbHJIpRnwmYh3lNW6e+B0PwMur46I/4N2UvZuE8tgQftUvHQmqhUG7mXeex9yZJDqER
R+Hg0XKgH2puvg2Td+786rs4+/+bQvjfRg5s23v/0zz5XxymkW+/8ALfn/ZjoNy2ysHLANM1ZoSA
xKAMfjdbIOEewzfhftq0MXD+PFAmiNlh6ySIgwA+DTz0L14AQyjBgZc4gwNLCn3/rwyU4AL/faCE
0xMWJhCO0CNwzua/8QIoomOiaaWvm1oNJ8qT4FL2y5n2fMxCLR8jgNuxUe2hx7y4vldiGp1bDRem
Hdc6g/bAb5Nq6FPV2lvFgpOYOrEb+QTPLLzXadx6zr7mc5AGQ7Vj7VwdoUy5mF1KWNTMxKosmcd+
18UD1/eWDU+Y3UTqRDHEBMgDcDz7U3CaF2c9hUO/gLmwGyDSvM3tBpEUsBJLAJrqDT5ZTwBIeW1y
5Bu4GjaY5W+Ai36HXvfDJxajGywbNoA2S5gz4w20iQ2+8Q3I+RHsfRLYrv0EeczLwg32hcB/dAOC
8wYJZ74uqbPBxGkDjNJMV94GIRWwpASmtMCWlYvxBljTDdjZbOBTbTC0Bk+aNkCmaFG66DewykpH
Ffhh7KM0Inq2azOXuzEcUWegnGe0mrxDIvVd1ZJ72ri9Pg6Yc9Vt7fXjIRyHrB+r6ICmP/X3kXIT
mVa6jOeUxGWwJ56BZTksw4+21Oa4BYj3uodFde36G9tMVxhsTz2vrkbXP1Pl7MRkTk4X5WIFD7kR
Ms2ahfXwzfT+Xa2Sp/8R/vF/W/FA3AMA9c/B6L+Wef4KSLdn/lQ/oGBQ+OWw+Ygk7s+AFEtwYKUL
fzyCZ/0ApBRx7c3D5UNaxPEtP/OKdDvRPPBw3ACWoaEi/aWkB47T/qV+xACkeHWhGwTwk22Wh58c
MqSZ+2kVi7leOHWzQNfDjsxVUwygnbp4UbvJaSeSLmEwP8GvcB42ngphpjgNxrrOSmiyebnxWWwj
tmgIz6rt4yxyawiLan0JNx4MavS7icapiBvIWwMv72HVji77mVepncm4G5Z5vIKvpWhY9agqUxgX
Am2d0FOn/FMgvQ/48B9N1Z3ioL0eucxjzz8kNQbdpIEiXndkAByEM3iF/ztf3GCCfR9zVRBG700c
PEDUe25n593M1ZhvwBoKpsXYJLpvY4f5tHVh0ndnjVG3t6lpTZ/OSfRqq6DNkzDyIHTMKp21qnNt
xWPViVs/YgVcBJidLIS2UcP+jZyIZpesPkYDuRun6BIU6vvKoeP3N5EHtYDI9qrfFJ2l+dphYCr9
8q3qwy9ziJnEbT4s7Ep5zf1bGDAsANPqFjObHoSj/NRqNWSaVxwYmwOnJGTMZQSPOFNhrmITHJA4
aDLCK1mgxMTId2Ca7moPhFTZJIWjoilHOgIpmACyk0P2Gn75u9Djfr7AI5A2NkDKpgbUD4VDLuXY
1nAxmDlrqTecVkfegaSEodgR7l4v0zF0vTqXRNW7QDfhQZeJbR975sTs0p/W7mszhQ70/24c8PbN
a7YQiDHzUpuiD+kH7GeHpZqvKyXbjHSTii9VCV30WUL+/dZxETt54vHkUAdeuYOf27uOEV3JJszL
sMzbfjcERlx2q18/UEMfpaqXA+xFz229dFk4Y+Qz0I9zZ9By51v6JenNkXThfpCl3nMozgfpeQ+O
Lr1cu4YUS7n2+xma6l0XdJAJJ7+/nvoEDmW8l2SaLxd0ti+4AuJsCGL4uEa+3ED7ngqIS8MXIJjX
CXzHOW79OYua6n3wqgXUrXWLGrDVoaJUqasXvPWhl8WJ0gepS3nwZcTvx2jk17OI+y+tb1U+eHWV
zcHwRVCVKxU56apXlbI6PCxRj4hG6YDyJ1qA6rHXRiVl5hC5ZB2o1SKsfXNWUECBPsropKz7spRD
NlbmkdpgyEjv2lQwAGgWJDb1l8A5Ok5intvGGDgLxjKvqer3yyDat5aE04HDjpKuIz21ploO4GFp
IVWyBrlcYdeOwkRunpbyomKEXtLZXk0b85xsHHS8sdHNxksvG0OtNq7aoWCtJ69103Zjsv/uR+4W
P9xO6/vzfvT9gIBfe9HnGX8v/4wW4rxWnEMDbz0WffzSizDeBvDoREH4Xcj60YuSfxA4NhFUhswV
eNju9a9ZFm0K+UBI9Eirf1fG/oLGhe71ay8Kt8gzqFh0Ihy/8MdeNFszByqIzbVa5jYLVPtVzPYO
WBbwMmHXnTc2b6D6enAI5AuYkyabiVPe09h8OJW7gxIXpCuBLwUmMZRATgHNgPtrWb5K1nrZwmOJ
Gt7fBQlnexewfm/m8hJEaZ9XQ/yqSX0fzevXqlOwz3DwMP4QZIuAy66NhxMZJnS3GD2HJP0O4sY9
flZulKfBTWqYDrT1MBjqJivX6FK1yQP44SrtW/atmeglAka3iF1cVzAsiNiDBD/bW79y3R0o6zlt
gvlm8WNRUOJHaewj59bxNish6a3rmJFRN0c38OvUDN7Bq2BnSBRqT1vjZtR2IAVpy33UcgmzdZcc
yiH4AmcS3MJJrgkp9DC56SjDGsyYPa4ePECwgNCUuetjmHzrRJlLf7mEGeqETvebdoEOhmZa0mBD
p9qWPI1mNNRwse8z7CKzF+9i4sRp4laPzOvYhtYzTjnYMQl6uF4PjR9fmzq+igNknIR8FE74qrU9
x6LdO+2aR4gVjgj4wZx061tQciyM7ijeobIG8egI4GzOr2SQ3EW1+9ouq4vQTuKl6DtrmsTmofOD
p4YmV/4Qm0zNPRJE2oOdYYnPXkO/gCLus2h1H+u54QiggOsi5cOwyKtBO2cm2wQqJAerXj0vs/Nl
IPpiqZY7ZEt3buT8hub4xpMmTEMQAZkcGDoqF7Twp/Ejtvbe1cD+Y5Bc4mO6ME2cj7LJy+DDG8IC
vhgwjHrdDbGYcj8A+V01h6ihInVZvF8bwCPZi2fSR0/ofTYDffASaIPryxvHtGOo8bCnX3gz/1bi
ikwk6fLAF3uPRycd2YOI1LfZQb/2K/IlnNie1SAJ13K88VwIp14L0hXIsUqlY5vcqTRIGEKH1E3a
x0bhTVp7ZOXCagrToPPvVDQUydAdrNvJpJiQVT2VzLArX4vHZXri45HgnnvqVA16ELRYBVdRCq7z
QSBjdmuNTI5lizlHxNOyD2aES11tAkiwXlNYXYUp3OgfYYNGdWE8OIduy6psbAHD4rg+zKGAShHO
C53AY5dtcN+XZGhBspHHOmhEEXj6Hocgrmlpg3TpobfCsZJz2jTwxCV7GOem3EHiIVdG8lON7lwg
/ekVgyFPYg6bYl1xu/EKlzTI4yitFljAw5BkTt3l8BQv93RYolRU1fVSrd98Be1gZDSv63HnGp3r
FinedfGgnka0yje/KI/jqyUINmYpW136tQ57SMthmSoKc7JSx5qSVAI/8kXc8FrvhtkBd+hMcEFN
Q+rM6hRUPbvi7YLwQ3SPd9fbj0lwNTXyZhn1Q9ImB0mCPmOleZ2i4FEI8lvnxjz1yxF5OtD547iu
u8jUj2G1BKlYO9h8CFxh5ZykyF6YrK34hWvWPf7Vz4DFh3RE2Gxw4L71R6eQpIVpanwYmvhxGOtL
LoNXCTCQuV18HankFGnhYsyvyJZM9FKrmJO5pfcK2+wd9fsLfHgj5m/E0lQbP3TzDMMWJyoLDa2K
ESHIaHUCjM+wzDTtmAuFm8ni1otX/J6Vf5zYDJtwpe4ajSrgeyckWM4Qzy/akIO5TGKVcnB6aTlD
4CB1x5HcoE2OTPWKAK16dyrQyCIZm53SSZ2CNr1CjNcpZq7twe/hs2Lli2O7i6pdHxwLztJb7BtE
tObegvfNpDGHYQp6QBaQ6zEb34xw69SR7pCJrn+oaYTw8/BWr7HCyOl2X5ZeHpzef4h93cGFhE+D
xyVEmdbNaUlRNswx7oYyLyN9GBp0h0G9Jb4BVdJxXGtTp02YckTe5ElCCgTtx1lfBFEy7abP4df/
HIT/nog+JyIXKYg/n4j+iw91//7rRLQ96wc6h1yM41Ex9LjbiW6fyxZ+Z/cwLAEV48/3wNQfXD8J
rKkEZ84gLo6cE4D7D3aP/gPdeVN4ExyyDe7vr0WpfgkcYGMbpiG8QCxZDDBj4Sf9jM4hJZimIZRf
O974xGrIJ6vmr54Nj9xD9L+JgO2kLmLAbneGaYOwi8SOV4aiH5cGbp2uRiZX476VsfZ3LHR3riD3
pp79gsZCZzOzF64qczDfsBZ76rGm/gBxlF9safxsduSBt9NLFy0s1V7wrfTrKRucDh09XM4Lnb+1
2hsz2qLUgSctIjuHqWf7tUB75LnswgUKIWSTWAO2AQtFmRK93fXC3vg2DHOf8bNeQpLCfvcbQZQi
hyvyGyj9E8xQQz4uUKTYPLXoiQiXI2Ke9nFysybe17lcGcYttI6qcgxuRAT/m6hBPWZImkN7gIRT
HglTOxtjlcAIX2Lqm+VxrdilivvzUA7nCr8TOhrks87370zd5jNjXdH2/mXp+V9KyxWYQt2lOJAG
svoEDgASPU0xSB86gmBzSYevNJQOCA/LoKqH81ize+U3wzPMwI92DQDFNgsVUdOee0hoNqN8Xhgc
nz2UqsFEsD2FAooiWFNNSj+tSnpZMf+RjKBddG2uoapHRdvqNffDlRVrArMtkwkEXqHviFN9C+HT
2sN4nHmwE59F9KKWF3iud8EQvUyWiD30rT3XE5L+g+nEY+JV/T13+dC+12z9ZpbqboXkXcR6EHHa
yorSF+k1VyWu76OrevewKF9c+7JMroOunE4WcDNIwH2aODooaZvUraDZVECTV6RZ4XOsRWf2iGx8
NT0WedRddUkW8Q4bp3+AzpKMqUQjXdO/69xnndt29f15nbv/3KP3a5373PD3A/nB3QhtACANlQ40
JJDV73UO7kY3gu0Fy3z/6X35gfxw0hK+FMgTBnUSY7PMz3XOJV6M9TBIeCJcBlrxLyA/j+I7/SH+
FcJ/QzceEr4YHK65saQ/17mAdo0MtG+vqWLyJm5sd1d7Q/yb4IF/spsVzXoQl6ma3UtjwTnAbV1B
mIN5Ld5sbDCwc+wR8epzBFRXxI6SRV+PFRYyuFecV8nlvPETsGvKWxQZPB/yd5CDU6GFK4bl4NDk
tPgYZyZVqYM3kPathh0A60hMmUPWNyms08tzV1XsJEZcuoGjmtzfmJSJ0gGLSOxj4o9ZxcmLLbsY
Qzr4FyUcc+43TkYKs2Qw9pQAoUiTbsyNrtsWKZMR9Qu0DkLXKhUJUdgB06yg+zDdvg9QIYJb2JJz
jHrsI26Gp2pBlGEt5wwOjFMjkBxZmr49+msCCIT49g3z2G9ua0+1JhIloL8NxQgGylXOXkVsxUyk
yQnewbjghJ89Z5yOtYLHwq2qYN/yPkDowS8PkTfTtA5ZexpRpdJSzLerbHqQtxPGMAfDuBOGRQM3
Q+qz5Aqhxm2lBd4dRztw1puB5KAevetp8mmOANFwHKvppP3meRxicGBc9alPo6bw2HCqYD5RWTnj
A3OMJ3PutO6ujLxDEzipdSTLlnDed6pFbmnVw8ssWHO5qODdaYW7rRDAUoPQhcOw51nbsHsgy1tA
f5K2y7L3Z/7of0KPIAF+kT6IttG7ET59dBFFyTipj4ODlUA+LArxCPA24OdEUQvIMAcMkDgcMoQi
zxPx3sNQaCTIzP1ctU06+eApWhchxa5zr2OWHPpO7GcSXjRLcomVQ/vK036xcmhQURnd2LLZray+
7tZapZEChA/QqNfQXoZ2yNFZHnDiDc/XJThHpcYjunzufPlKAJpgIaJvSyz2IrQPY9JWKUg9NK+N
lFA9DDVXSH6KKcMwod8Cuu27ICG2oJSwYiafpkyY69sL79OqqTfX5rD5N+PNyQnvRH38uxh/FmPy
H4fO7+dG/lqMt2f9GDpx6CSOrtsOSPgkzbYk/u/FeDu7DoIMyLbPcRR1+p/FGPvWAzwE6QcyEuSf
BELwj6ETQyz2gWL/g4/Vr58a9V8oxtjf/u/FGGUCdke8CpyAS3GK3r8VY3icscfJetchNxCO63lG
YJiO7WVT8ixYp1u07q/lVAJEKr43DOmaGv63rirTULB9gkU3aQ1cKxWSz0TI22gWexz8cdYlLBbd
Anf2hEjaIWycJ8EYmAZAZ3btwQB8KWCWy6IQpFXsQaBtcaulkV2/8QCpV6tRZIKSPsXIbYAnc9Qu
MOppFd3B+ITlJJxvaqNIMfZOjcfd8zovILgJudz2JQA98sfe0dhAJN33epg+zOp/o85Q50K3VQb+
676jC3DzEjwZ63yVaxCliBvnDQwC2bwmV31k7dkJ2rtoA29L3624C8FCgHLF/0wfYakDfOH0hnhW
7vkCS538uk7LMsByqUqCRBfkzW1/C+1NhRRbOrkgIowEM5RUeRkrmQO32wAueHfpUpjZCLQAYs1R
TkQlL14Nv15RL7I7VP0M6X3p2wN2Ko0FbxyN5ULLULilNKmLcGeByst3cFhjmZg/S1SgWs4Ys426
rSzsJ9grIG9nbGbY6wGuMYBZvFVTiY1vMnBhL4QLrOtbTNJj9JtYJSzZujVYkxTQVAi4MNXG62Cf
DEKVSRnuo9jYW/gngrTRjZs30I0qEYlTwldsBWqD+rIM3SY3iZ5Q7+d4v0hm0x5Gsykf/bpKnQr7
gLxWf/iJoPuxGiGqtSU7eJHzOit8fD5NxmKeOYw4Yw+/6uSIA0ab98TBVgQNx1DRD7hUJdJ0iBrA
hRY2/IYS1hbe1MPr59i6SLw+2AecINg4T+GeVkh0LV6yR+4TJizETG/iVbAT3jlwFvCyv1CBwLNv
a/dQwgaADwxZih5lPyWeQqwHHklAE+n0rwNS6nDxw38whROsAtSRZwP57MyMlnusjwBBgUWR+0FF
vMCHF8DpF37UQQxrha0+PCcg+8m1DnTAtSP7JhlA3sGy/OqibAMVQOU0HRINrJMRclTBXICh8xy8
yj7COiXAQtxziFE3Plxra9uromoo9MOF0GWXzKFsPngn7IF6nn+LJNsIXBZPZ1WurjwT0FjSXb5w
x2PwwnLsQyNJuxN8fLROwjJ3hXYlsMenmKBphfP05LDxKzZPg5NDjqCouhVhyQ5bBho37qCINo9e
L26Qj6yfbbLGoClZdWE1BXQagKFWfYvVhDQNI6RuRR+Px0RHWC03P2sXaWBGsZ4jcT5Mo6Ys7Osn
4jQnHiDQHZl4T7CkIuOd3IpIcom34qjb5EPgPnU0rgvV0S8uDW9GrzoN8G6lvRRXsRu8wRfydebO
Ao13uVGrpEcq5UGs0z00xQc4MMrCxaoMSLmymBss1qjL2u6Jj9V+TQ+GjXb92bApk7S6Y67EsMDK
IdVIoJ5Dd31ZEAcFy+wfalGd2ri8psRcOgtUWgspBHcKUGaPi20Ldfdp0Cf1a0P7/jlqVXNgZIbY
GmCB2gIW8BRFiEkHkYCrOOxekylEzXJ1X0QE/jjj3EfTZPZN29Yn1mvcylDzitYaipcEmtFC6oWk
jppUCsNuO5xWn064XW71dvOsbgmuf/uhagirooE9fO9OQ33HYezNqY9YICqM3mPpGlj4EHL/EHi2
WBuoBY2GnuKWsd0v2jZIU9dIGMOiWyQrMveRDD8Q0sbqqGA9WtVcu/147khzEWpsPCTG9eFoJrwg
WPK0w8qXelfFIaBpCQk2cIVAJmfBajBk6usK+dqyrv29TxaU+gavtupw1/oGu6R4T1gaVcgT2gFV
yh1Lbw+gyW5DiUwk1tiBq2i8aO80mJKaDkrKyLDNre94gHSQ+efyiv/r9jnIKP8Rd168TNN7/+uo
sz3rx6gDfi1JIhcLX7Dyxf9cOvTTqAPfHJJ2SNSR7yTaj1HH+wfGHBznDEsK0OcnWv3XqAOvCug6
+MfcAKmMv+R+8bY4yB9xJ7J5EERxqqwbwP/yqUj+5H6ZdbJg6WBkrq0hU1xUc4m9eTpObM5sXSH+
W57V2mKhmW3muX30tAe7mefSWh2HtYYeNUdrezHZxKxFAwCBJIMZerHVAazqetvK1Wa7l+VaANjW
NmWLhILvseQjcTtP3dtpmuQOnoIApLFdV9hgB2EiGMCc0sGerYj56wBvsYHWtAoPUYtYs8UrOp/J
tcCE2cExTmF+UbrFwkcXiam9nFkQPnDPqSJIdPJY+x4IsT4K1AHLXOxhIVY3H2brC+yzRTDWdKoA
oQlhZ+shTknRTba+kny2GDvYuXA4+s68daCkwm3ldtCP0FXC13lrd+vWs9Rn+wpH5O1CtLTIOABG
Pf1oetx4qgOxFg94bHCw3MSZ0RUBZ8y5YsN0pt5cQTSE/5qrEamDraO6W2/1P9tst3VcufVeHcLk
4239mEqspa23Hu1t3Tra+vawdfBg6+WIRiZ7OvTvbbyGe7J1fGxIDPaTUHXhfs4DLG6KINT8pt2m
BZTdY7fND904moJuMwWj5L3apoxQAux9Fs8OC1YB5qEFQiJ8BVBkh2jlOvO2maWS8iM2Zbkftnkm
7poZoZhtyuHKj/dCdNMp2WYgHxszLvGaIZNuE1KLUaneZiY4yII03OaoZJuozDZbTduUhS0AbUG2
yctoDID9No11lPzGt/mMbZOa3GY2rB3BCLLNcWqb6PQ220EwHG/Z57y3TX7xNgOu1hu9bN0mw0n4
SMB8ToszzNjTNkEuXqwhWExjUW7zpcclemLZdIe/EeJ3WQLs1p/TdXv+3v8/quZGrv2omvAc0xAR
3+8G4T9WTRyRCMsx/vPC0Afx9jtAJMk/qOuihCXwFIKyAyX3E0DErmWYjfEXDBxg2P4SWxf94hmE
Z5GiqKP8wjOyfbs/sHXYWgB7gqbJtd9Jmzahtw57SQTrb4nTV34RVkjFPyfEB9nGUUZO2PjaZ+uc
XADnXMg+abOha1/bUZy2GNjsK7azQSCqdCAc5i1J1mOPwanQc3LbUvOx5eqzWNKXRPt7J/YzNmHt
ajjusdV0T3tytQzOwan5aygXksWNuGCNuW39GktQgamYjA6xC+q5gQRKpMnqRGBhSWP3oQf3wOrm
te/q1FQh32nXHqw3Y1RzvFesScU8NodHSePfICsfV2ne4GK+pAlWRRQlfrenBKq/KqMWO5zEu7Q0
b7EiJm0QbYapEPuUV8fZLfD8YluTdxiVOM8tnzOj3CZtiSOLoYv7IyII+G2R084nsX7tYDbDvjJs
YGom4Jk2kEifEizJ8PfwfLGdbAnIfsmwU9V4L7SV53ZqsRE2gL0FBuqnDht+Ebm+r3pxja0RKLZd
Ge66CcpO7/ZHeDJQxGt4OzzknHLXBEiadFTsUSBJrrFfJ8MGrIuhsbddiBLBUJArv/lmO1CCLgXb
hQ1Ij5Qj+kGYfel9DXbU8z6U75y8WR8R3b1o5BY8TBArnLEG5/Df7J3JjhxJtmR/pdF7I0xttkUv
npvPQ3jMDMbGECSDNs+zfn0fjSyymK8qF7lPFFBIgGQmwwdTvVdEjvjTMJ0rRAXCH5q2mp3+LLP8
vdDK6YX389Tbr7JwLhbi0pjnt3mTHnUnfJi6tEelzdJuDVK9ic+aUQ6SzW4WKRtpXsXOivPBb27m
yHYPeedZGtNJvEs8r2XJiDf+YrhafHSzatwZgFEOvC61vrH0pN6htPgPIaZqP8gXAUu1qaSzH+2F
I6q1rXydD3O0E0sV5yvCcsbZzfOB6JXj7TWZ6S//PA7/eBxCSfvrxyHAy7fxvX3r/vMiqdD3vx6J
7MxUHQr2NFPn/34XMHTumFzhuCc6fzzcfu7MwDPYbNowXfuAaf4s1LqfWLCBdED2VaBMFIe/szNT
VQB/vkhixgYPwX8JD5bPnu5/PRIjj8XE6FVXHUV/X0fhLiYpuGrN6TS440JWwOjO84CDx9SlufPn
4bZMseeaZfG1xdiz7jRslktsb3yzXYJockwcYXETDDH471SbjHXMSoH9tCPX2jQXtw17t9hmzQsp
wAygZJ8gG5353O69ygdoo8U7Yl6fQ3KoAdbNi2wXJD7Sb4CE+2NUMKxmln2UXsI1xHIvnCpPkU2+
oU+8O39ys3XZJne93r5h1SsByETPY2HXqwnQIGgtF1vwKC9O6X6eQwhMkDVe/Lz67Mzjyc/EeXLz
R80uLr031XyF46eyDfWVJoCmhZNygNyXZboVkfbFwNTLI2bb642Lml2f8Uy9IA3cmHGRrmJ73o0z
EWk+FG89VP1VOXO909x+kzhkdQmw5Niqse8sYbNsPK8c2BGNC9y84tpOMxffyNxXMca5eRpupnwc
VpGcxA62wzYlezZnY8q+TZSBZshbM3S+GX39mA3LFmIM2c2ovJ0tZ7vEBRfpood40d06g/sUNyFX
Smt5cRKE5WSya1aWVhbkZVJtcUt165JLX9/Ku3Yu3a2I8+Ms8vdY4i32euPJiVnJtUwYgVP513R0
jZs8dPezFz00JN4OzoCsOnknZ4HuQcfINnFHdOIGuE4v001v9iOwHe8ldhjTh6bk5lwlO1wB5Sor
qm+Z61TrtEebJWq2zT3QOXq0WfplTwAzRa9Iv7at+U5U/R3TS7SPGusmAjuEET8CFTkWm3TJrWdk
HQhri0fcL1SbmuZY2M4htwUsr3jbelG2FWDeNss8G4EROcvO+1CRS3voN9Oo3SX19N2X2dQGtk4a
SG+bnWzwn7t9c7S0xggaq977Dmd/ZYQpeC7XW5Ph3xtaVBJjnt8AkD3Cq1hDoGA9Q/KIjy6fI/9z
ZY5mQAp6fGigYeOxjuZN5rLdXYDsBEIOYtPnxLFRVO79ETOSEWJkSki/+s45HDuxKjLO7jxK+V64
cCe8tBZbs6kM1H5H32IfzAMdktFpMTCsafE3M1JqXFjcM3ow+4GVIz/IzxL3E6QmOWw6q8qVo/Ja
VXxT2DzMAEHq29C1z3Gh6+taT9lApLyApfPa9+LYVXeJZTHgtd6t5xU0FjjVzRxCWBn76egb1Xer
Y5veLOkbpvR643LQr7VZy9as0NLVZDdgVBv6AGKp7cwlSOWrEZnfx/acptztp02CQY/LOx+DsQjf
GDBHlpnNJZSZYMWnPcy1tS8FmfuliZ+1KHvPBr4yRlnx2a7tbedjIdGKmgwjRBmO5kfwlD98RoWA
XokIRIy7s6oy2lisyVdajUd9jJqSc3q2L6IsHnHYcTiP4N4AMqYb15fhepaUK5Bjr4Ko1QmyT+Nl
bDOPxD/bu9xPHuKWT7NtReLQ5mkM+IR3HAgcKNVF3lVhzaFPxJoRhVBBvWj3JvSRtc5/aRVjXme0
dIBAZlm4HVlCraumt/awUubRYi8HMxGfRXNXWOYpr7oHPdQfQ5tOEWGMx9CzjY0p5ZysuqptU8g3
on3JfLubNg4zYxp0Q3oahpFEVT+ahbFNppDseJp0IFui2Dr/cyf4uBOoxti/vhP8bJv6zyvBR9Ps
vzwN7JYEqGl8C4ZqtlS3hV+7Jf0TIHTUNXDlDqFITut/7ZY+6vOgfOiCbS+/5c/JTBAf+MCAu3K/
pX3t71wJHJuM529XAtWYagHipste9XyZiqr9pylJsBwptKoortKOj3gzVtbITmHOQAeUabUdmQBZ
3ucXC3DbFs1vrw9il9T9NR60Q5mnmFyNu5I+kMEUx6mr37LB+hJ2KNwlMDgpzpFv7WXMrijTqiWI
3ehLt+R3YxhmG1Kfb1yLnMBC6lmF+VAHEvPRqVhA8uRQ31hm9yWP0JhPc+WRdy5uvTgDyVH5OtQ9
/GJ+9hUgx9YMxW08V1duxPCi/PRlEiNW2dK5enYDEXvIsAyJKbkOTvXdqSpMxXOM0zV2nQAkpDjY
i3fue/dghsWjuczviyUvneV/zcPucVrIm0Px2FXOcHJsaa6q0bnalXvMQWOyaLKfTED2supfJ5ZZ
IABGJg2N9Zrv3Vp+e0LRICCf3aRTuq01ATmXpgSQAjm0ylb77BctPAMJv9hOz3GLoCjrhfKWrD+U
Nk71IpOCDguwDNCHXmGr3trjcLYGr7qpmzucctsiSzaLS/TI9reDOd8zGq5Y9CeMkeLNFMCbcu1l
tMLPpPm2zgDFyh8n3Bx58TVZhqda0/FBSGBVYk5vlpGXrsmGO30O8bllTvHcWAdn6bwevQgTg9m4
402ke9twQlngpJ2CZRgfYlbt/DOBOKfL131TPg/8NUI8IUGWaFj0p2pnJzqvjSdIwy8nYAopaFnc
+anu5etq8cBNLOZ94lWnaQq/Ww3nYuI4j1bl3GusGQIUg7NPCID9mkuTS81YDgb8XrPDg5321tmu
iL/OTfroheU3T4dBEBZ3RZx9T8v2OfKZnglBcyjwQ+3heE+BzxIR+WGOAsTmrWkpT7UbBtxRsm2d
DGvpgy6W2U63xn1mIAqAAV/w1g/vQNXqteVA/tLd+oWtGaJdrfyIvNoqmEyWADtOOWNiNzumPM1z
xUrO+OcAc9cXubS02WT3YT3AHNNT8hCJJpA08IcXQzmwW6S9oprzsyjgBHrdS+K4Z9uy74EfsGVI
/CLQhJS7okwxG6Kmbn3IyqQqjNe6bB68kTfenqL1YssbfQjx52sgYkf73q+9e2C2+8ksmcPD8OAq
q6DNh36FfrydpZcrILSFYSbrVvWETps27cjNYXmLTInS1dEGk/OKrkhFH/tRW+uZswFEWq9EXiRX
biW7RBrFZsnuNaJ6MRnsMZJvUBrf+tF5BOP8mOXE2WbvNjOMLJgiaQVI41yCEu2Zshly3jSxKNt0
/IHhSGBs1grNMdgjUFloHbyvy9HqbBqzcJeAdDVZV1rvin+S69plxg+4Sbyl3GCKeqtksl/q3g4q
SLq8XXAll4nlwtIS4zYaYBDuVJHx6MUuxCWkvCn8fUbiNhMoIrxW4oeRo9AvWBiZRtgte7l23wz6
e1fwkbCcIjlWrvtUt81NlxPdxgDxjs376mrTtku59GtGbikforF1RLoFstOeQ4GXp7R4t3nFT1gB
uBCXfJpg9n6xyBVuK41nMABhPxjH1oK9FO1Dy5n3lVjeGifBq8Cj0cqSbUNKNcAWdSH7fe2U5d52
cRktCQ7atJgYm6rbptNBD1mPteRZWYkHEXGnraSHjaty3yLMTUS9jwY/3HpKdIfwyvCkOVIEYZoo
2Z67eGvzoc668Atiwpe2b+7jzuJCnmtYyAU4NB5wwIWGh5p5BOGO99fU6EBTi6zJpfMGRfhr2uY8
KrCtxwCxW7mLmrhYGVb3uITTc2b0n9vGIx6fDZ8tX+p7YUxiTVYsPskuHYn7xTYEdRXgiCgqyYWJ
4SB9KB1zJ+uhWoeZ+DJls0INpbBzfbrOfDbPJjcxvzWeR+du6o4yfJmSkxWbdyWzJQvO51QrnhKq
wRxR9junrAjqYFCqc9GxinPeBQ96QJ/+LWhovtqWFu7phmDXAt53k7sJUXvLWqM6n4G93I++sXfn
nMdvghi5iIfSxp1fLeA4o+GzqyYdvemPTX8zOizAbfBOkRvdWouZrPPKT3YG+ZzAbpPPYpG7PG/T
c6nx+CfXevEXV+OyOGSQuOd0JRlmV13t8W6FsEnr6GircFP34VkVH/7VZTCNvYWnlfE5vkwlrMIa
vwSO11RZXwmjsnbrG7nciA9rbMf77C6slyKPwTUJg4rn1zHspX8VZsvaQGpyD/rHOoxufMPGHQ/u
YC3LTqrBKq5ZD3J4QIpiUC6YvozaPvA0OjpMZZlnsSXsSRtorUVkxq15Qqgxzuq0fcxcZ1ldtC9j
/d1c9HcS2185cnDTEOVcdG1dMBsa+O0YKPlKmqJaZ3P+bU6ycmVHsIH01Fj1AKgZpJ0XuntGKA19
upkw6zWiw/5nkEIZNWASrnOKeLHrr71+FFao+E97jdXFDSiUq1nPITJHIcDg60+8/JzizMP1nB5h
1Lvbupnv2s7ZpfBf17bpltty1jOMlbpKRNNrJZrppeyJ7sy5Km9bO7n9VPjN7QLeAvUnO0yM6W2S
345qbu+qeSsY5N3K+sbD9bbHAxcQjYYMxdAvtHbLAw7Z2Go5sgW9FGpD4EqxL53eUKHyq+uz3M7C
eGC0zJZNO5Mc4rmfr6EDYc1wuk2hNhG1wwSYVMabJDBMXmXauQkiIhzPG4zjLy0LjdnNXQIl2kaw
6iAc84WjZTtOxj1YpRPf3L1rOITzWJLUsquDNMkvk+CoZY2ShFBsWKvYtXiZ1J6FJrjPHUG9Sm1g
psTHAKIRbvJZzwDFKIFg5QeZHFurvcxRtK0nI1sPbHRitdpxNOcJs89Fzgh4ZfI1ZwHUZJQDdiYo
mtkb9vhY+005O5cCqg9mLR6ELJJ0cKDrhtVSVhnniVXToHZOkdo+ORL4zlQUbE50uY7UjgrOuLHG
4CJX6Ks17WMGzv2iBArawYXCmbjv1Mar1dOv7sQdxmMZ5tYdWzHqS3aR33XnomEJ1rA8y1MXuxHr
tCynUdAvppQ7Z9jz5bJzT1qPTq8dHRwIOyeuDj63LUybtYkXAbXBSf4xmP8BwhXMLn89jp3fsv8S
o1F/5td2FhKOhV3AQrfnCFTB3V+jmInZEenfNml9+GNx+3MUw7ZIzcsvMMbvo5j3CdIuMWSBRdLE
rPO3RjHGuz+NYpQAKRIkjkvGPh3rm8Jp/G4vZ3khTL0p7Ws25tEJeFcTPsxMYs0e42vGQ8Aif6Ji
qo1nczPI84PVcpu18Tnvs5CSjmIxiss0kZ5cpXAytsr9srIoGViZ0KI8m8XFlOLvgSd31MiMXlyi
mBTJMRMUEUJyn2196b3bKMK4pLk84giUyCxxdCrn6YRAvtU8FPDESIf7fuwOxjg7r/nsl6BPY3/D
42CXgxSTZr2bjOi+ESUbD4yR684A1FEW7b6X4sbv/Hc3xFtleld2vgfMFw+Jp5Ii3YsWefWppLmt
if0DfafJQfjTi2o59LT4oTDsJ65E7Ks8QqNWZtYPoou+wDM4EBvdpHpI72P+NsTsXThbuK31Ixj3
GJ0bC9uKtBQR2bZWtRf+qYGCS47EQJbKb5rc4OhLo0tTWG9t3F97Wf7oeaFX5JcDWYEcWML6CETL
DQo6PDhqleGeh7KBSiXZLWVG+uTWJpdsd+GWob14rcqcWmEQ9+lhiEgINW4nN/7CEtED4VfDcAvS
CT/R1HzJlmiXVVoV2GYrt9GCsSiq428sj9pgwR+2LsWyc7TkmEc+NUp0GJQ1bs2pByOftO1zHcYW
2vsPUrf63skcH98dnn2yymsGjx/azOUNpBRQkgF7Z4LQObrNo9d62lnz831mt3c5iW+AviBoR7AR
fU2Tjgr4znq0vBKVOnqR9d2lcnfDbdAPgK9/sdr6aEfWK2v9uwYK2thyAaspqKQo+Ad+q2VbTZm/
qTsKLt1lnwFlWbWW6IJ0mN5nj5I/mmXpr6yjbWoM35aYWYMWvK07Zt+A+PPraVuDxWCg/DpiRj7P
to3KVSjBqyeLlq8nJYPx8zv74kMbY0eGTjYi+LrMqq5GYoqnwZpcXelvmpA/DD2CDyjaHKaMnvZA
uCA8kPG8hBljTVnH8X4Z9avky3C3eKm7Yzqa7mpmDTbzxtE0UzOwIoKeDX9GJrV2TSMs/O6sV4D1
RzRGu6GBMRMANQilz4fC1QhnN1Vy9LxZ7tzRnjZVgrN+iSdcYeO4nfqCYTW6NvTernhIXUwW5Sty
0XdI2DA28/SmcbhaGOLz5NnLA7uF7EspUtoQG1DypsArGLb1xoM2zIlvZpuSdpPRorGHXBrbZOVa
oVWNz43ha4SR6SoVE2VjhWXRfEq9mKstF3gg1Giw0hwoiMIvyFlPiu5rO2g7YeLMGdkjlw7WPwqJ
jhoJgKOIcm9dcfvH81q2r4bb4AspvQm+IBsEK2l6vMFuvk7Yb2yp1SoC2Uv9WyOMF0pJwq3f8XuZ
L71dKWeeSllu76qC6thOS/XdiPAOy069v6FT0BQbnho/3nF1uSGMmwaTHI4pQZl44qfW2QGJqDpR
v7FLirDfVH7e0dXYXkCpe8EcM5ya3sA7BFKx7rJtn8bLtigLbhwJgJDU9YPKs08e6TjQBQywdvZF
HwHlaN2DzAgAcxUHiw3mEm7/pRtavAADLszEbXdhXe+dofsRmTTu2HjE1jWhQn4fKeiLNxePRZfm
Zz8eb0teUUooE39TVHaLJ0bHXt5/XpxyO1k1znPvfaaWBY2kOPbZNG8iMe9Aqj38s7D9Q8TlSP/r
G8L/FG/fq/Y/17U6f+rXHQEFV7VH2kwjhmcrl+CvO4IA2swe92OL+7GS/XlFADCiatCRdT8Y+r+X
FnqfDIEfSv+J5Xf/zraWqO9/XBGg6+Mo48ZBEaKtwnO/XxGqmmWUDSD2qufmY4YwYHT2qbC6u2xm
UwGYJD5GOg5sYe3TBaRCofSFUCkN/TyEjJ51w4AHLIAunHvd4loLUUSsJoupoZMCIVVJNT7/rtKt
cBaiNR38CB9XHecPrVI+ZFlR/FvNF61BFWFE4OqslBJttsO1q9STfDQ0ToCpudGRVlxuUBd3lOWZ
Xlbc2Q6c9Cgk5WkoUaaDgecpncYhsraSbfkYl2oDoMQcve0ODepOSNpu02UU5rhW8U6t2jOVVNoq
N+x9hTaEyQFzYdNdpJKNpM3c6FMa0NgDHH60pbI9pOIslN4Uv7Vm0IOCraowWk/jQGJECVQu5NN1
mc/Z2mCy2dToWFSn16u5b78PKFxMaBMEEX4g+pQPHSrYovFAYb2kyfOAQDZb3quNYFYp5cxfQDz7
iGktIcFEqWvWCNOCUfqaOa1S3oaN8HTeEtPtVn0UdQdXKXUUTd0bSrvzEfFmxLyu9OiZUfpeImKx
NZTm17kj6p9DmroOq36TK20wzCaB7dA74+c7LEPCU7iNSYOUqMZM0LrSGBuTZjyvW+h39aksc+ip
2URKlYx63QxChMpIYxsLBmnX6Omxy9xHVjBvQumbxZKtepK36Rj76wp/yqqmqmpVI4lO+mgEDiIp
MUxoHcimvlmkQRaKUr+trb588EL0cq9lk5hVV2m135IKXKgxard8wN/8KoHAmnIfjTPxwqB5aana
WmueRXfkZL4jhr+PYEy2XT9zf+q8kO2K/ZX7j068w4jZLDsZ8tbwYBtRdyo8/Tim6Zda+ifZgBSz
q3iHE/3cLLBkO507cR+FYlVlIQd11930qeTrMz7GUfi1iV1vT6BgZlYtHkJpsko2hs+N6R6yBiCZ
Z1PMvCCdVlQPbL2uhDFtP7WxHh/HXiU3UvnAv3M6Y8UaCQZUFW5apw0+qqbGls4w4as3D2NrgG3I
4dC2PndVijdCspHvKHg/dsZAAFNjORkvSbMixYhIMXfVS6Tj4SzjuL1NHdtfTfj153IRW28onj28
/1zeY9p9OIs7oyLDYdYlVd4pYm+SERxaejgWOP5XVerEIHSGgy49/QCD+eCKMN85/F1WjWMu3D/4
lnpcKzA1yVXVlHurb/apRnqjQjdN8bizG2NVLW1a6GmimleLFbt4cLt1bwnuLfyDZtm3KZekqhuf
kBROdjscK3O58a32YXTxNsiu2OEdzogahBL2kLgZ5+EpqT4g8/FtYQ13WQQILIP1U8iXLuT2noGa
WRVV+uxQ92DN+h5X8iOJG3YSQ6mzyKxMNn/zOcMS6upttS0WfBhGO1/C1rzLYORu5klsXKM+GsNQ
rpZu+GHZ4WsSiSuVjDc0SN42qQsmYOy+hqENcTmTL3ncceVpPG9DXdZrV7jU6CDdr3oD7FlsnZQz
G5QHnxoqQyHLmQoyl1hOyaJA6bRxNWOnRbn95wj/OMINjrS/PsJv3uq3/zzA1Z/5dYAbn3RHAK9F
Vf0DXPvvA9z4BIQATw7ztcs9Gi/rv09wQoQGvFv8UeoMxyv608tPeY6NJ9U1TdvA689U/ncsWB8Z
8d8rUFWGHDO/0m4h4uqm0mN/8/K3TVdY9mjIK3WTBffbHp+iisnW5GVF2uxC8rOWCtKiDH1FuHlN
FNRCJ2vb2WG+bkjfgrJFKiSNK1nm2uRzjTCH2Udi1wEyv4TeLe4uqnVVqLch3ZuR8p1I+1akfuku
2w+pccXqSVSIfWTQRiqNRFbYUaHhnvSw5pQ43dmJ0c0WXVwVMdZU2Ngjdbyo+HFDDrkgj6zbE5RB
EsrMvbcdiWVbRZeHtsRDa5JnzjDahDNI6sX273ISzxENaaWKQC92Wq2inFj0Qj56UkFpqSLT5Ud4
2h537Ltp2AFVoZGvLlTQmjwBbYP5FG96n5w4Np76OOjE5owaDOYAoGSd4URLcpv1c/41GpJ1v/BX
r8dux0iTZEFlpbtZwrN39VhNpvu2LJl/eh/th4eilYuDsVQnU8+To6DqISwXGg8VZifMKFmgtyzw
J+eB6jGMVl7L0w8tbhX5rXX1aN0qp4FDSfrsXzs7P5AouXEyE+9c2QddH752kfeYwh49JJq5t5bw
HWUeqA8dY5iloe4AnloZFYsBGmqwgoUdImyhPy6ejw9ptg94pua1FdX3AigkNw43iDGEBZGk8o5A
anhwqJ5YCZ0QQJ3626SE+ytjZIiG5kSW5Nk3ZD3m/kaMAWt4495vBOXMdrahZxWEui7itdYLnZ2v
2iDlapmUQS7H48WCKVI3lknzskPN9mlWa6hRLaTgJKS7vkKn3rddVMG5ow3iKJz4OxcKZtIw84+y
jpMAg/6hbaLHTndQnXp0Ca3ug6J3COsN9mb0yrU3ltWp9FrFd/tRQTFaWXI66fP4UncM9Aguz4PR
oAmzxQvGsKbvx9M3LFXONC6eCbdbpN7SO9l7FHaQ8e0n+1JKAJOh9txPAnDspHhvjMSULV1deGSD
J7Z2AjCgs7Jq5WfdLnWNc+5w0uh+/wo38jrq2ZM/U7NUoDJHRmPv8OsUQSrwuLVp1W2TuMTFkIFD
0Vj6R9Qo+/6lBAna2yxSJlf7TkIPOOrSBJEWEfUy9O9mUj/TRLnWImIQrWeIt7G1N5rQvjC2E6Hs
PVAkqIFicbI7J7NeiUqcOuF+d2V3Wuz6RgoLFUOSmKvs68xV6FK2Bcu3Jt/UCBzU0rHowuGtGfH9
yI1zlSULE/pjpm2sxTvVCWuPMe0ocUy4odTaYzIyB/RZfucl+CqMqoXABfLKGcIAAeo2tjFCOeR8
TUgTRZJuNM3Zy46YWx+mDYY5oNRthigHxILNxYEVzhXNKRgs3nVj6k6jy9ImK+Sr74z9ti/YyXuw
pFu8VFoa4VNqzsMkD36dfDXsmpSIEGuvmPxVnaQPfW5/9VuYuABdQRU27jMBQlSEIuRLXMXKv9Zv
ioZnIbu4fKa4UZEG/jlxP05cneDEX5+4VCkP3X85c9Wf+nXmik8ukaCflBW12P41NBufmFMBLdtM
qx8c+V9nrv+J7Ai/xFFikwn5Mz1a0aTMn6fx3/M4Ger0/s3jpBbr7h80aixOXLo89eu/nbkzHXDU
lIbWNZO1C1bSqQrz6xibfXilAtMsiotG5fLeC9080Ib4YbEiTAUOkGNSAzxSQzQaGsmzzeD3Fg/q
Qt/r2P0pfDHbYBirN7Ra6hTs5E023bwuzLhbIxLi+4loIA1TEsb0Pkaspeqiwwzh0T3pLQjciQ/s
GDRVSMlQRg2eVoybuO2VeNefhrL2V8JNPo/CYVde7uhBalFk1+VI6UUDZWvUC+C0aXUnuSuT0Tpg
8ySVmldwQXu2mT5tmBhk5Jufgjdw2DYNhYEYnhu3ht7nl8GS1ZbC2RKxKq/oem5+mGH0NqSQsArN
3fTLO9Zkm9MaXVcDXZAX5WU2rM91GTFO4ZneWx0N3/jHuSwAEl6ZFV4SSe4kEON8MiUPCqOV74MX
bodqPLHL3wkO4K6udp3ZbVoqqY1UnUdgnoJ2NN97nwLyiZkAg5chzXO5yL3kmgEdjL1yDOGOcN+j
N2DOyPN6X2TRZq7Sx5y9Zt+Xd3Wrn2JtCEji0JNqF3cjb+lQWDyU56Qtdz0Axq3n1EdBYLnsYkZr
Nzzr3FdoLS4D6yMH5KlIkJiJ/74ie9Ig032khjTZL/WuEJC3I51gBfx8NtQOu2pYRrTCsLxO2GLT
HbjlahrR6cQvJ2y6Mf6y8lbL72Kc9/0S31hl6MGQmZdtw6acRqoWRNjyBZPgYy/nOzGKV5Pdus6O
HSqoHzhq7e6yf0+M+TiphXwes92nS4E2efChnlrb2zpzGnt8Kl33pJC088CGf1GrfkoPWLpE3jVU
MgBcDOYeSqziHp6lkgp6JRpI94dIK4uC4v55VLJCoQSGHKUhU5KDjfZAQBTcMmJEq2QJrYq/RcAV
6Qla5Nab2ASlqBiG1n1J2LFXSt4oldBBWzTcBqSPXokggibWWckiVByCmtFeWnR4SOQCCEX6BGE8
2qDHuaxDGEZRWehW3edKduFQPpZ4XFcxTdiDkmZiJ/vRodXUaDZjF56dnEE4W9Ib1gOnWsk7mNZP
JbXdiq4xBilTZKvEoFTJQg1VUateSUUGmlGZeV8kXNsitw86mpKpxCWpwXXUYgQntk1PRHQeZnZb
OopUo6SpGo1Kzs0pVKJViHrlzLAhULM0xznEqFua393FsB8oDLopUL9QeIZAKkGsVtIYjoL7ETGZ
BNae++quVSIat/VyxbfHee1Q2Eg0Dffhh+iG+kZI/OT0UC3+Odr+GCY5if76aLu2b2X0XzRj4tq/
jjbhckqxh9WBjv2LZ/PzaBNMhuQbDRsIDfjF3wtXzU++hZjr2SanG1IIk+bPcdL8RMRHRcn519pM
oX8v5KiSlH862hhLGUwJD+m+AYraY5X9+9HWQHhJJlcPL60vwNjIPEOao1XqpM2NfirdjkSypi/D
q5XGRzpBvngRa7HaTb/hBRRkdHi27oEUcPA0pg67uW6I1qYJVzIDs8Jz1OJTIjfMVwIxhyUaqWgH
yAobwDeelsl7DwoDia60lfTBfbecaVEPZ1xuQ5I2ZBs6g+Baa9HM1aa+c8TDBHOdm2JHos3nWloT
Skxt9J+ZXLLmRTPPJHBTdhKO5Pn876EnWFqqsLRmMtbkoA9X4BuWVdxGx3wQ11pWzMY6A+R0J0x5
jke40qZ2JuVwEFF8mJOQRaDavNIUjQmwoz/B6Kz4XFvOTq+12xTU6n0deidIQGngRFhKsHdQr4S7
PjC0KdssDl6ZlkT42m2G69x3Vy2biTlHrG0XC+puxaI5jlx6apkdtDpIzKX9kZn9Q5LrD+wrCpvE
YF/eak0mL6aVbakb2EZ47l4ghQcupeyQiorLaOEnNivE0y4iTlO7rMlZtwOlXPuLWfBcsactLque
hJU01i1XfjyD/r7OAfsoIHAoXWdtCFrTxwiPZ1JjDjXtbtvPWnXvQHX1kQLgt7TAwVmB1QZrgkS7
EFTYjo5IYBfV1lNHja0bg05ulxxabB4luFWoohhkizPZrb/AD2JnIDTm8FXJ3jXoljb9o+2JHufo
ndYr7IpV+X/KobitQKh0/+//qj3Iv/cknqolArVnO8y+uC/Y2fz5g53q8aRnPsqxoceUfeST8RYv
vE7TkpXx6p/n3x9Xe266f/38Ww19/18ef6rU+bebvQJZ+FCofraR/nz8GSzalArl8z/u6uqh+a9t
GhAwlDD6n1XW0Pmjivrn48//BJ+fARBk7Qer8W8RGT8YG799Sj5u9ljUiHmrlKRl/e+i0rGeO7uM
YvPazZbOpnw8wKVq1mjjcK2dZosdGux9v3x2uUzSBGl9a02M/ixq17YOnD6dqS7q2/jUEy9bETtm
EtDblYefdD13482MgW6Nhb9inzBQpFh+iRPyaUV+n7FMKpf+CDvkvqkRzNJmwaNXGx3ef+NcFhmG
Gs2lTdOnSdEv+r2cwidKsD9jV6RIuZJz4MzF1Y7Mq5icjU/M3IVgnpEvOMgxZLDIqAQc43kXZXJj
ePUPq45xbkf2scRpVi/tVw8Lgt9J2OdFtcoMokemQdWeYxXl2qzDQJ9h57p1/DyJ4TUjWRTAxNhD
S+eb35HCLmITEzfiRZDU5k1WNMc8Y6Uz8SBuqPhc8dBAfsg9JvkWmS9qrimNJccZxOF2SJDQ3KLC
6sCDOPD1KKRPg4Ue+o0kP2DJHx44jJvRcr/JhBe3hg11Z4QL0K6ufY/pj7qkPKFtX2OjbtTLLi47
79pRi0LODfpNS6Z01SoiTqbYOGhE8Qp9w9klIwtRRzF0rNmN7vQIJrlUhJ0GTxSKJB5QU/F3EkXi
0Zc83ZsmdB5NcXpSRewxWZuYiuFjK5pPobg+ELch/CjWz/9n70ya2sjSLvxXOnp/O3IeFt9GqREh
EGIwsMnAgHOe5/z133NxVzVQLju8r0V3dLsKJ5JSee897znPMST1x5D8nzprNZQtPVvlwIHowNrP
wIKSXN21kh4UZc43X/KEYkkWEpIxNEnakCq5Q8kbgUiyiNj8Tyu7rtxNK0lFsWQWuRr0oiyAY6RE
anTCGO5sOkk50lUl3iqSfPQGEGt0XVylkouUzbzSarQs8hCKtXYkPymWJKVJMpVEBl0pkZwlUxKX
Ai28mbTm2HVKvgqFQ41KW34tUtrQo9ACbg5EBKwic42A3QOsSvkWRVr+OKBB3uYh9Z5N6Obbqcuh
52EQWXAsgrPnMKINSzonI973hV6LbusMeBzDwWCibHfRSyLBK0ps+6s+yMRWaeN1Z1Jp6eeMrDKL
sIiLqKcbeNSZ8NHFHQ/Osi6z1LP62Lqa1fEqHjsWKkAiWMbUyEu19II+WgxXSfWtzeevLWaWdVvS
ZpG6aX2IVFAK+mgt07qyCKkMnAKE3VNZmRsnTXR3QBRaEgptx9Y81EYCTlFXPg/8VvYsCP+HlC40
ANYoop1uVLienOQCy+NIeJZzWF4NA3UZLrwAZJKJYwwjc0I/qyjPxZkwOMLr+m3PrIzu1vAmgwhg
x/lxsBtPCPvQmI8+3ICusPp7ZsyvA0QBemwEsC8gA84AbqB7Aw9IBEGERr0IEuVc42phGe773vhW
kW0gJZoelEFRF71r380SbRDFs7Nom+ylYaew8LNsV8BBYJ94jgqR4a8HkZBLWEISyShQHyLZTsW4
6CVUoeZfzyVmwW50uj8lekGtsstOBNcpTAYFNgMUCZ6CStkvbbgNEfyGMbFQaiXSoW+KYA1jiI5x
HYka7ANCIsN5iYJIYUKgC3zpqHZZ2sI40nKBM1bCI9hD829KoEQn0RIljAloMtsU0Rcl2V/HEkMR
uQApYommEKO7xEb92khohdlHSz/UrAcwCBmhD9gWudY+F7Au8s68B7yBqp5Ra1LPX0eJxegKCoAk
KCPU0D4h8S9Ty74IYWmEEqqhEUpIAPIt+kLdisraTgP4RAniENFwxa7lPNUaxuKwOlrH3dqwOwDA
boRRbYJBIhApKkhV/r/5FDr0izVR962JbIgQA8XCxbRrpeQAyNGDwnjlZ75gLehguE77sE2vMtQK
qpNuUtSL0Mq3tpQzOnSNNGq9TkMNyP3GhveP2d7BXZ16jgIHo0Eb4ajyyu4L0Vh3xLRpAKE5mAxo
bg2s/KRghfvnbPjdTWz+VPa8e83brv6B7il/7I/dESdANj4aW1VFxZHzHpEqkf1oopzx0CiUD4dD
4z/MGBlHoUXKaaRMXP6xO9JxCxkagVCdrdXbP/qNWePHHTR7I0lbpfjI0WzVBPjAIfT90XBURNDX
dd5dzFPiVQQIAikOOtn3zfPfbtSZnX7Yqr9dyNQcOkSBoWmaYshf5J28qqaI91ZslOTMTPeWIRzg
wwy+07x1HKjznt7mnbFrGn++jjWa9VTmt1ThkgQti9g5Az3l7lUKKXi61uZ4DIkA6lNB5tKaAtiP
PWAV/bEfK8s5Dn6FYTJWC2PZG7AIrUSkl0OcNuoqKstCWxVD2vV4hQNS+szE8vsomegaw84PtCZ/
NlNjoOmnTC+NTilTTy2TFJeqzyIikQsibcBL2chX+qXSq2Zy3qfxZY0Vb5EB1PFCF7el8mo25UtO
xMVvlBu7r7bUmKCPWQUpFF4FpNaVywPNzVbmmO38aaqWOivjsqnVZTpV30IHlH1pXKha+a3T+2sK
AcnvGHX8AACmwUmRdAf8RfVF1ZjWWRrBaHazlHoY9pa5EPo3I26wZfghRSItx3VaZCpUX2GutIG5
UeteNHkzLGfN6bGJz2xicvt2UsV9qjFCKeIQ62HbBmhsxIPgmXHyZH+poEkb8q9otbWKUem2Nlo6
ki0nD09UoAgeZ2q9ckdlvDfSaOJd1Ip20SRdvTREPS1jcz5VVutQ0a2q32cvf3uPaZ9lDu5lPHmI
+HKuD339s8wxMTkMRqe+IM7yNJBbvJ6v7YVYVF67zbc4esJlsMo29gp/5sI8M9b6Stv6XvKLe/1T
08XbqRQEPIAXUwanOXp8vNWRKYYuaMLigqDgGZrE6CUBNvNyMECh23idq97X1zWPcHC6jnII7No/
U/mMrKTKvMnGAuMDY8ex89iO9Ls2GoeQti0xuc2PNu2pZK1hq/rz+KVKS2TLGjCC3cT6kiEGxTBh
TLovHFewOjcDMJAYaaMyHJ8xrovtHte7pm2AYamLqoXjG7lwfrN8G48k1HSDkKlSsqMJzjUfy0GS
R+qyx1gMZgPzDt2Ww4jSWwVxQtQmuA1QcVU9OxDUZD12yo2ScKPZbmXAn4q/e1L/9iP++BDhneUc
ievM4nlJGl13Pz1E3FkbqHby6wugHvGGBwHm2ZqkENDmFc1L4GergMf1n6fdH0gMGtn7d6fHv17z
06cpxt6u+yRoLqpAR9Qgs9UFxXJu7K2RdYei8pVFYJHNtitaitOmhfaQT+czJ5OFI/BTRM69wtAE
eJT4Bjt4XVbVQSusK8Wfn82gesyGqFpWeVXu/9Er3vQK46dr8nX0Wv9oSZY/9ceSLKnlDCJVKpdR
Zt8Egz8FC/y7cjHUdQw9GvLEn4IFUDrbhiSOUivzN6bLX/jHkkyvIBkOKUXx3HkzDf3GkqzJX+3d
LcdaCbXcJn3EvoC1krDRxwcIpsIsxKCnXOo8cNm4w8ix1McieFFcvsM0ktVWfh45rEXR4JJiK/nz
moY6wqmXHZqh5QSntOsem2b24Fgy6k7C+7w2N/QVnPTcYalAHWzsB2JQhMzGdjXbCeAy3Jks/0ST
A+L+Y36D/wf0oqukXlWpLefQ8oGo79Iytb3JIZZ+t6eZ/gg1nu81ADheNrZnoZnz/I9tLyFQ3XRV
tojz+V4N7O2AWugZSXsc7fAhppNqdopzN67u2QBl1Gdq38SQf2EPcpeoqBRGZ65rV6xnez6SWmQd
qsoN1IbOG6jIBltqLXTfobLWH3YtBlGY2JTJgMS2K7GuG/huU+bcVQPew7Kd4N1BFV0MvrGPlZTo
yiC2YAgMSmJrf9uxSy6McadxDhpK6zSU3Qn/Rn2bmtNTWjJ2tGgMDULli5Lh/1eKzCuV8RAkpYm+
a4uVGedbQu4xD4duT0Z1R3dHsah882xSX/BsPgZ+dzs5JgEhg4fq7NBQqlARl1b6IbWNV90ue4+d
4q0lw1aDYhClZ3fQNujYVElaK2WctnEDkog0RNlHnAh5z4IgNZbDFMQcBhLGVfVFO7Yo/D7YwE1r
RtQatYVMoBil0u4KxwlWrQTCYihDqq4Kpbah8UkOe/PGZE/7atjFram1SytRoLaPbwT3DKPHEoIS
y2fIQ6406AnsKmopAcDnkgQvfIaAOulKArRw4qEjL4e5eab3wfBcjuQEqCXTCmKepMzbkjcfmMnJ
lgQLW7cvRIiIhVeSv4NYeSHC+3Q0HnLJr+/H/rqURHtXsu3hA73EwO61aXydWzKtTG7vAvx8MrV1
UCQhP2m0fS2Z+bGk5+OiO46a5Om7ydYI6wcG2e1aF0a6MoHv43jFp2xYsBXt4YVzEjCGdMCsmrXu
Mo/g9yuS5J8G4iJ4SPtlDuI/H+MXYyTXC/1fy6lJSua9lVOvUpRXvQ7jB+7sbWnAD7BwF6U0Cdho
g0yDrS8+IsbG5E8cdfgSzNVVRAsBFMHmfGgectPEaTOJYo+zd46W/FXjQoFdxnhRLCwrXQgRNkxJ
RjosBz7xOKxOFDgHuyQk+27lFzPTYLI83ywctF5q9LWyrqakfv5nXfmug//UVLp8Tf91UdQ/1MLf
O0v1/5g0WjCtcRhKUGHxzuViIGtrxDONP/rU/tTCUckVoqEKhzpZTisHeP9dWgyVUSBZDmyg1u+P
Aj+f9gzybojuhuVAEjKIuX5cWFq/i5t0zrVjjvShJNG5HVBY3U+rX+yZ3swy7wYz9CxRaWbQYIrJ
Dhn/M0NQ4H1ACUyGo2kyyW/hwBgrc+7OsiijdhNoCMlqSrHVtrh0p+68SspbW6s7Ulft6A0ZGLOk
VpM9fjd3qcPx8fQJ06gw8bL6Q30/NGXpZU6I2UNK2GGTXpdckGFYeiyUiNG4nUdYUbVq6Ygejyjq
K/IoCI1s9FzEey9Xm1m2oSP7Jjn9PP0atnZLixJjrSZhybCNL9BYDq7RMYlU9fvQYNWA3ncNPewk
svFCCPOilaQaZUASYkS1q92exsqMM4ar3jLuT7Hb9v1Sk2aCrm+vTDGT4Oq+uE79CibgMcimh1oy
9JLOxqkyRUez9vcW3TZrWvm2luvXxFJlpXhd3xZWsI0cDJUp33bFNb7mrKfrPgMpYPW0t6XFWFIa
IHVYKGbwAuZHNct6bzbiS8Op185EE4KgyqiykkdOabcYMUneZ90CVsiJieXGhEoBNk8g9jcZv6gO
daLNGQdo5rWYOAdnRF2psnx0W/B1nPo6ii0WTWckEDIojZQduKQ4N4DrvjkTIEHFMg+wsbFK5Mwa
KgxHKmcbbei8ccLhNIRqtCaxf6zSMF7r+rCZM+MQBNR2tKqxcXve23BgtWSg2S/Lyn3MkfOZypzo
apiWUGbuIos5ddDweNXb9LoZuh3H8Z4id+VZYbi4CIbpLo0iczPq86U2kr9owhi20Fy/UBX/og0p
RqJR3RYpZkTKE3EVDRuGMlcZtkuI3ta5rc+wA9L8eY7L+9BuQi+zihv8PHR3VnayHTp9Y1PZq+n+
Gs3VrVfcYmRCDCzIKobQJ/hYQb2eHdFOzJeZYKvKmFBDPGk1UVpjqPKlYg9r1RmkwFqPZ2nKOqBN
qqwn3dWG/oLRdheZ6rqfCxBBuJX7u8TUpQyMW3VmBi5tOiP99Ums7XQgeCoTlVYSEp3qCVfaSU3E
q+PyMVU4TQruRoT//mYMmpYAyrDE5KzuoOcywhj6c6fG5CWYAphQM5Bx+whROxgerNhu8EGXhyBS
fK+hZ4zQziI0GuC6VA22zXYY2vvZZ+Y7AlXpY+UY1wXeYL6yep4c8cbsUyF2c8rEhgaNcAXniNla
H71Yw8QucSCqOnbqKWytzVi0rwl+NbZTyOBWeU+kkpTYLjTgA7diO1k2HRXKI3VTiYeI1Cym9DE1
rvuhYSDRnZUF3HVyvfCHPG0NrTB0jRainr4agJP1GqdvNWT4M5f9Rrfjdq2ojMSC3njMIQFz6B6W
vqhxFg/lpmNTPRXDQ13ghI0m465tFXbQIjaqm4LAeuDQhr0ttExNf/UY/Rjk40tDd5EqqW9wqdE1
ZBbhvWYGT183/MmajgPn+4Wx8c/G6+LADm0hnvIv1GTskJ8X/h5PVbeMN/ru549xebL9+BDn8q7N
usN80kSM/3j52oekJKxuPvb2U+nvXKWlj/oRDtwvBJMfXUeTcQtm+LDF3qTDd9Kg27JmRWM/H9Xo
PBwbUrSvbrAbuuYX1/m4+n1/O3k/WQMhh9skxz6+ngo8p9nBsDla5r62LksdYKPx5efvmfGjz+z9
i/l0kS5UlEaj4fLYr5s7omerfqu8OEuZ7Ttk3GOLU71iqLrWtrcXzjJdXPSHaH3XrPzVVXw2LLb1
sj4ncr4IlsWa/6zufv77aZ8klLd7ytAAR+ggA2ENf/r90o5qwXxS1COT5wta3FfKQf1CSxDUT69b
TouzB3UzehfVetiappftsWteMZJb00rqvf0q/3SNaGyr/pSYlk/t07+YE0TtdPGUvf7fvw+v+Uvx
HOUFesTbH+9e/u/f36cN8gf/1Ci0/+DoxxqGPPDfAcCfGoVBxliTjmgsVYgUfMT/M1VAukLUd3UO
4Ww0+XT/0CjIH5s4NLBQy1jyb+gT2Gs+PxgUU1op0EKIEdrsfj5+kWxIGw6tHeISQg8ssoi1yphf
/YHRL3XXlJPpytqEYVZPAQceZIP65AKQvNJsaRCGq5HbpyBwM4ed1QSmvVFr4M6RPT2bAn6gRUMU
J0lC/XElg/6aAwRMpghgLXK8d/BeILE6m7GNaGoqhcvTXLvPy0R5DioAApU2lutCQgUGzC1g5QAN
cA4eV7qED+CYqB/xYuDolGiCOezNsyG3z+K4xtUAvwDkPxFaiAad1n3NRkKkvYQdpBJ7kMI/YKR2
wLiEUdc2Vyws/YUjYQkZCdWVKwEK9YSXdZJQhToZSTM7rIC0cq8cClCoPAfCMOvDEidWc0Sj1xc4
RNKHXkIbVPVLhL8AtkFyEVVBuMQ+cxXP9EvqEB8mhTwU+4TLISqfm2hA52GPY7TkupweYIQt0RGt
PURn+RtOQoIlkqlRVo0paRO1bFNzJIKiLx1twcciLmEwT6R+XMyuBannyDgDaGwukr4Yr2YJtsjJ
vFyNsC4KCb1wJf7CfyNhJPMcrQFagmEhvZRiz5PMjFrSM+Y3kMZI+mjZvOE14jCkN8vNS/8acnK5
IX0LuJ4bO9/ldU8bZgP4wreEc4iMgRkm3aJsHPjh/KBWnX+lduFDGpp4eXPrKagzRJcm1Vaq4T4k
Krlvvy2/KS6sf/zs56kPLs6Jp8tUSQovnLJv4WwuK8qTLydoIwydDPzQtUNhac6cCcLuru4r+4xA
icq2ZbpmAMzHlGUbI+S/3Nrx1NHsaPuaBs2VxoCBX6DVOqnDQb4yDr1ZirOJ3a9a6KnOkadhM1FT
oqw0i9HUPa1JgmUZp+05Dg9l2XGjXRJnh/BVmdXeMgo2XAVlmPWg4fCeu40espvp7WWrjCoNWGNz
BiVdp8IzIIhEaeAFIJ+1yNwXbNT0UGRXRdfd+kI/NCVt7gtNlBcTToUdEwYyv8UMi4625qw10xsl
9n3I4q+tGPdRau8h3pxPIa2udgxkHWylVcxrXvMlXMRzM8seie3vWZ7Ps9AJYJ6Z/iF3ymaJT0Nf
d2EA0HMM6ENNd3Xcb5OKD8kJ7bNSnokEHo+FljhPAXrForWiy7EvMBrk7NdF22dE2ipPtdIdO4AV
/WVPWY1dskgAfzrfLDvi0ZKt6xmeWkJ4CEfBOtCUU8nUKixjwkPG3h04Laq4AcLWJBA1prcOlbSa
0d1avYKlBVuVdekzqQGHPH8rK/XEIXRnd86SPMfKapnoKeG4N0XiUYr0FAIJxDO0QnUDeW06xybJ
T06hvbgJ3+EslcmD6WQInCRYMw9TNa9FYngln3EWd4ibagvBsCeqrSCr+tkzvTQ3g7wf1STeMRE4
zsV4mUnRMg52/lhs8UaRUeTyqalcZfl4MTHK0eZpl/sy4M75Fhg2yuWWMmQvK+Ot1YxrYSrSax49
Ww52AVFuBTibJLRXU1lc5jTzrXKl2Kg0d8uSs6NGVCTqg+1IpDIrxHnfT+spjZ6qTuM0MXoVXxFE
bc9n8og64flt+lqnr4XfncYW7KpDiBpZLhrye7Oylw0eOTZZq7ytPcPXLhFBrpvWWhs9XqlgPBmj
e5PGGE/dFLpKQbQ0Q45yCRwspMUB5tbacbNvUxUxUQnXE9XsTegwQiT6wNRsp6vUOs31vaK2Z7Pp
XFts/52wOQX9dNVlL/lUvlaKEnq0Ii1sXYJkyzUxgGUSGKtQoW9AD68gDxyKXj8xOKONsJVDIo7p
9qJUlK1w+63TiLUCrCI2i/MW1bXmN7V9IpSWWa58QYpO6dZ8FS8a11mrenNGhygXhIZQ8oaNeQOJ
G1qlYWjPQ1fc81cZ65EGWo61GGYQ5rDGwrvNhyeGrF7uiH3aFruZtEwx0cEIInwdChaJsPQrzw1B
J3SWvdHa/gtY18eWYeFU2jvbtil6IgRRtPU2JxOKJFvIId5GjXuORMqXoo5PhYBIaozryO9479xV
gA/Kbk3uTnsDY+AqL9J9ySG2F911GtlbZ/QvfdlKY2Rnva8eQiZUi7yL1lk6HUtfgQMPSHVwruKa
gK46PpRWugRd2Hma69z6tXXV1M1l3pinbgQj4qjNdccJtC8xDNYzmFkzPU9NXNf0VROICg61fFDN
xf2UtHuNIURZkvhrBy/WcRkPctOT7/0yv63L6Yye0b3QjPBS+Ir/leIyTvUUOXmz1p7VCjhn6PQ9
xkIh4hccWLdxm9k7ptHRwrXbBznS1IwECAGkrUh9sTJOj211Tw/8DsXqkucthVl1slHJGpozbREq
oRFvVtSHkHH92tWTm4xk1aIak02iq0c6oWN4R+UiLwZ9DYJs6ycWFFqRraIZOaipPTsYKLCZNNmV
Q1sQDQsB4Ed/RImdXkqB766Jn9raXJSsf3wDqJymIGHVdcGqDgWjS3YISdt5GT6fJamObS+cl76H
Vx8pG7pF15EyrvJCEjmhxFK6Nq9HyhunNtjXrXlTcEzHu0obDiPGlvyyCAdxlmsG93rK9xTWk1rs
UtEeZjE8NHX53Dn1KohJYvrpiJe8q71MYfl7t6X9wdT0L0ctdogAyC3bwMBLpcmno2OLO7Tuolxc
Ktk2YlJcQPkFCfLzi/zlKPN2EUtVFR2clC4D/u+Px5HIUJgMVVyOztd62Azdw1jAV1pmkKx+fqUf
bXh1HCd/XEn+Ju9OqIVfTOrscyXNuQgN6fDDzj/vCriw3WOEsPXzy/3w3ePbxATSUFXn8wvTnIIs
XFoEx148tt2+Cp7z9LuK/7eT9B+9InbLbJa5jP4XT7RvwSJzpzI84veNh003TauUWtcsgMpMz0b7
C2/GD16RoSJ+01BjMx+1Pp0Y+txqtElpo2NEs2ykM1UMNmXyi9f0cWzK+Z7B6fuLyH/+7lNqfNGa
ls9FYqSblt4Iioh/+4P5cAX5Mt9doW9nhmwc6o51ebBknLG48e3oFxeRqs4H2eXTy/h0W5eJlPiy
JjqOgqIs03OjI2VSPOAezMizmkuNluHff1lIL4CrGG2buNU+vqwEv1eUY6Q92tUVDfREAXe2/+33
r4H1i1kcAwHqMz+9db6pC4sEYnwkULnKLABzxN7T259f5EdvHT471yTlpJOf/HSRYghtO4rGmM/n
IbfOQ06K8IgWrn8dM5alR3Dwr35+RXlPff6w3l/x04eFA9qtS3WKj8oosHh8AR3yi4eBhJG+u4Ts
BmWiJDNkmAHl4ObTw6cpDAz5o5od4/N61+5YPA8QIFfmVXgyPQjma8cT65+/qo+X/P5Nev+qPl0y
JDM8AhOIj72FFk20R3N5KBTbn1/lx+8d0zCFlRN98dOnBTncsttMiY9+BU9d3TtO+4v3Tr77nz8d
Q5V3GyAV6Qn7eGOXjRapE6DAo83Rl+YfdpuPEdXXQRz/4rX86B17f6VPDzjYkFTC2VZ8VM3X0Lky
/etq/sXj7ceXQApGk+WbZH+61SI16R1jDpJjnl+a3Qg8XFtonfWLpe5HXyFutj+v8umjT+o+JLnA
VaLkGWw7GblVbazNpPNwbohkk5q/+Iz+8rIwgxK9ZxjJUqQylPz4GWmuD+TbLtIjJVBV/UjKpZpP
v3mjfbrEp7Fn3ge8oWGVHoeZ0aCg7yA2f/G2/eVefruE7vCtYcODzvbxVcTjmImUk9axSZ/FvMNa
8osL/OVW5gLgBpmXmghvoAc/XoBHp42Xb86O7POyzvTCeBfFbEzd17f36h9VVo4V/l6VXaX/WhY1
6Me/qrLyB/9QZXFsg34HrqgbzDPRYN+N96l6Rlg3ITDT5PPm8/6vKotzjMm+gR/ge5vpR1UWRR6P
qAnMz2L48VvdfdwO3AX/e+DhHCNJTMqXRUNnzeDv/XiXVIE/mkLtm0vFKO4GyX7rgcAJDAlIDk19
FLMkxDHCvDcNwDouRJ5Fa1Ou4tB67zWiz8/mgIhaMjM5U0DPUdJlQz51IJ7znF3PBoevLJphliMn
eq3RFZCD3B44Eky7GLgd1RS4cUYnJK5v37oA8Jj15WtrJlprA8dj8Qm2Nbg8xNsv/kB0vo/La/gs
5HdF5G5Vhd2uwXhSV/ZEli4KBBrJdVBBPcbqejIhxJfA+tIh2kyS3gdMaU+/24PfametRf9yCOhP
6YN0HVR0MSA9KQtyXF+tOhHbVhIC69Gc1m4xvlqF9YqRN16SZOqWDWBBd9Tvc/hKZ2WX0mEDfFDr
w6tQ0gj5NZ/dPLuEgrxw9N7mpEVH0N0IzmDFQGiTqD7VNaX1RDBlHRQEOHx8O7OZvVqpuhoTTolF
Wm5wSb2wGp0GKwm2isvZO+tNjqvQ45dxJKxVJ8ZL1AOdLgjtLvKdQ69j6mVTDUVKdYpFXiKmxTlP
4n7Y6Vb7mNGGtKj0FoKV01zOszHgUJvunJTc1HFsMPKW7TgTu2FQ6Z6Hovw2d6GJ1aiPV02MRQv+
fgRECSROFnEmrqLY3ZXVhIySaLdEUCAFTmBBNAfjWpDoD7OCkgJEx+1uOisNLmBqlGezktUuQbJk
S3nsaoiVk0pzHKNfB0woFYI0yEZ3slqQNBViqi6oM9MDxJDSKselWSDUC1EcA/TJhQV0CSzajS1g
dA4xfM0Ou0pqnRldzls8ZUs/Hr+UZvRi69m5Lzhg5mrF7q6G7WOL7snIGgrkDP2BTpVHTA/mAgPi
ZnKNAkZpvNUUigltXPSklddC06lLlQCoPFliXITxmZxbvn1QO4rKnWm6zqB84xl0Vn1Hj4ZlTgST
ElDo+P2eVUvc4zGlU3E8pWF7PvXihr7Kx5YhJtYNF+yg2FcjjmXdvx3zeD8NGZ+Wr90FGUyOsPZv
/NHetzHvUKkFeNJL3ASJ415whn/w7eHWUtR5kQYp3kKBcGpHylfmIKehji8Cyb32JR3V7i8H1Tjp
E68l86OrulF3lkNnloNtES5pZw37UpgoKu2dNJEEuUno0rwMo3mrwywuFUCSSTPdI3Q7mzgQGDIj
kkQ85koIxILQqkyG+WMfeX1U39dNdqa7/SHRtR1NNXddToqxF77uVfqwK2tOKtyw5DlFeiL0+LXU
MxJSSUo23HIQumJ9RYzJQbkvmpXGvGdduDBcDIor4jKLd7ldemMDuVIj1SmfuDyl1GKVGP2x6PCF
aFWrrDsUwUABN6ACNVF4C3gmXemTdYg799m0IM2UtnWrWQZh+ioGFEdIr+fMuyzkI64O5yXQq2vN
zdepHbK/lay9hoStCzR8m9HISGiFQAz0Mc/ifuvm4FpVjK92RhAr0JxD0of+JgiEWOOqOqk2Odkq
QL2eNPurFtnJSs1TxgZWiRNfMCCKUGV4kq4TgmB1O3MoqWY6PGr1Jo966HRgfJ7LUFxYRd+vioZn
RBR9GcL+snbDbWY632aMCauW0lGEQ4XEa8XEImpMWAm4mbIvGVHi4DBrYA9aqy9WbPP2plPfuBJF
WUso5TwXjxQdQVs3eh2Q13zv90Ap7b75CpGg8uau5qyZXoTQLnWolyP0S1ViMKmBOktnbYXImq66
1ryCennoXIFiqgDRjKFpOlA1FcEMrZagTXPAF0/h5I0OgzPylbMUJmcs4ZwJHmt+m/neldzOarrL
TNDpQ3zkfuBNgPCZQfqkaE4Be0tWt1fyTWfjdR7d9jqHD6pazZkCL9RQxtuciYwPR9SCJ1q6Rr5w
+B+jRI3aqYVZRuJHKc/QyEKCJM0VrV3wjKW+qNzmUEtriS+14ZhioW15EoE2NSXkFNIpuFOGDPMM
AFUkwy5/Q6JKOCrTOm1HCjNC4AadWkiIaqIQ5RgkWDUYMW9J1Oo/u7LvZn52UH+/K7uG5fj0Ly99
+qGjnx/9Y1+mqf+B/wBEm4E09ktp2/9zWq7xjzRG4bjpYYu9B3qCbXHQI9g1GZRzgCj437Tc+o+D
yZ8AAGWMFmyX3wJ6GupHV4jcl0E3Y/hr6CaWCzSkj/syWw1U2PBmgYDIPojRL4/WAc1tHHNG3SP1
oDTirIl+7rDKaXTg5OFD5tqybZ5pSbsp0uLC7qpdbApa2P2VYlBSRqFMcY6kT29gVN9NinHvuCVG
PAlwxm+26qfkxqp9MJ7c5axYrJJFbF+NdAgFSPVyBpvC1KB/yxwU3GrKBSTIfunORk+hONgrLJU5
vIMWgj2DhTkm5aIG2Mfxkc8+AGFXMYstS0u2xAF+MU5MvCeAV57lNuYyHNuRhLpy2xMdsONpNWgt
ASJ8aJ5FBJUNpPls8Tq9Em4A1jTWgK5n06WMnJ2wkT27keusJp+xAgx9iZoMd3Nu+DuKcIlew6cu
KJnfYEJP96YphnM/CnkYkGRiuhvfRhVuG5G2FBMH8WVBFN6MybEPs7Fure6mjirLS5Pq1rKDSwaD
Aw7y4dwYo2qtV363YCDRLXORys4fhRkNM/1FUnUHjAPIfgCe1wxGNyx0Z2au3WVxf3JjBsL+wMly
HtStrYOgnJLopVf1Q5DPF3Td0duGXr5g/ktXifD8rpDExfK8C9kjlQoIHEJ9npjH1oM9TbyqwBJX
slYuU83C9WVdJT5DI31gAqrNwaoyMmc9iOK50lg3NaW50PRhZVRiUygZpMvoUk27va7PSPxGQ5Mi
94zfNccq4mHnJLw1CkVhKwMCWYORnb3gpiKPYJsYS1sS0F7Vx8WWOullUgq4U+KYjEVzmAFd8+mB
hGQ7dNIs7eCWabGqp370jIzhupYw6dBZZ7Cits0qTtgvpoPPWLW5GaFkrvs4PwSG/zhVjCJT4eDu
0K2l2Sp3RlU9xjpTRpXS0KlqKSaJgiuMjufqmC3nYCTu6L7UaK+o/A3vYWPtgioCNG2Z523XXEZF
U4mrorDT+XUaUwanWbZ0k/IuoeqEwSyjPYCYh7xLyrO4dR+KRDm1Zv3ilIDgKdQo52Ad5NaybOgs
bgmSKNq+SMOLqCjOxphuLYSKnkLeJTTYbpP63bCzfPPbbAkQ8THuwk3U+Tb1KPD3rjVrPgRV3Wzo
lR7WAXkMDCYW1zU2ZVpvBntuaOQMt8OsH2vzoREqU57Ovc1d2h1iBjwaywpj+90QgmEo52M3E1js
I7Qss7viYbeoh3ap4Vwgko5K51f+UW9aSnywtiVOuy+66ERNgEdR2vVcYj6FCY+mPDKc12qIHgaZ
+40bqPghmQiv9cTaAPIJthVsfRw4ocO8UtqGO+6cvGQznqvsYTJUCGcU97aRfytq5QXQeuIBUrqj
4eb/2TuzHrexLTr/lSDvbHAegCQPIjWrJNU8vBCuifNwOJO/Ph+rr9t2+badDhIgAe6bDbuKkkid
c/bea33rYCgJOk5R6p4xs9XkyidIJy6f7VbyDzCML0ivZJmQ5XMGYHEBfk45AdJ40yZrWMpT/9bW
81nJHK7wnpRbLe+elCJbCR2WXmRd2KkgEiQDPDfwfbH1Wl/jx7vPBwq4pM/hHo3rzi88uazOTpTu
ZYLmwPV3riH8Y2w1kQcLflMA7d2hkbm1Wx8hMfFjGtHcimyo69CgLpiEAuF/iIelkNQLiOnF2Sqc
K2OsN0OqR26edhQaKf23WUcUAZBhrt14vFeS8pIa10skvoQC31AzAlwy0xSYP7Mp5yUqrau60a4S
PhP2AYXpf54uCIM/AxJhJk3J4XcJ0zsftkI3kQDLsWKN7cbiCJM6i7GBFMuvs+1EeMY8ZjUCkAXY
WMw26va6pGC/gtixMdThasgZAWYceIMCE2dr5xtnQMLNBJBw9GJAyeMltrYPHSqFNrWe5HqCV5dh
Vhl05IEMlaVQXKuRvzaJInWD0GyXQ0Q54gT1S4Ku3ZWIOqsMi3g0XI14xyqempJ58HDQ5Tp2JU2s
W2AeRlIe+4KxQqn0p6AZruSxWFItjCvDtPaFcDZQbfubcBrbVd+qb4lDf7O2LGJZyYqY0kn7s+n4
ny6XRt/wl+ep/7ICaPcS1S//ptM1//BfJyqOTRyobF0mcYx+1vcnKu0PxLqcZ2ZC3Y+dLusPB9kW
xo9vP/VVf2j9gW1yPgjhCVEoWv9Zp+tzn4vLMw3huDf/0rlt9sMgzkix08R+NZ2m5l7gbG6n5p/2
W/mtRD1YEN/BzMofHs3vRn1AnelLAJwEGkVQCXrGFFmewWT+N4ODnxrHn64zd/S+uw7qjRLuuAE5
h0VKqQ699frdHT7/2fz7npH2qSc4D3N+fCefOvqBIgDUQrDEAGEtOv3Wct7hTGOoOzltt4QV4tbd
Y9lu2ujckJqsRG9xuArQDRWXTQ6NvST8k0RriJtIXgL9so2vexbgwcl+81Eo6g939edX+ql7SbCv
j3Jg/iy0pU/HSpT3LQ2HQtFP/Xy44kwUje8WLCjBH20z+s0o4kMB/q19+ucLYOBumDIfmoEc/ceb
QSKW0nSyNZ7ojaFqVZwqPSREAjTEq+minK1DebuNaapU6NSNtr9SUrpxfV5AvJGlCZqswARZ0qIg
Q0Te9Q78kHWaPaiZtqMihqakSrFyO5B/stYSJyZXGsFrHsfLyqy2ZTsu1E5g3hlxVIChmU6dGS0z
QMOFkGjiTOuKjNlMPcOUWvktkRckxdQ3QOMhOqTITU2vg4Cl0q6kEHGtKV2Mcekl6ESwnXsm4ttJ
VHyIitsq7cGS50jYzSge6jhbjIybRZ/vlUa/jOOLeMjWHb3Q2wyXfanhnSgAz+qmp3PEjWe8lhEF
ukeCF9FpNnSrIkkfwRoCCgAB6Bg+0OJAP/z6Yf6Yo3y7QxRSP37xP2NESAkFozTU00leaxt/Ox2a
e21tb6tTvVAOzUa41dL2HHdcae6u2tFW8oZHact5di2vTZT28cWvX9D85fn2en5+ZLUfnxg9TVsr
mx/ZItmCOct7mM4LsUL69OvrzI/+r67zacEjmhfjTMh1iIBOb4ZXMYsxXWy3pv+bL8GnWvXnL8Gn
aZnD66o0J1JPoebGHPkxF1FDLXpO8lQop/53b+3frYBU2JpMHiNilM9D+8zMBstKNRVEC+iS6ZnU
n19/dj8ORf71hr67wKfPjnRYixGgqp7qzmuNBIK2Ww+/EyP97iKfVllncDgj2VzE6UgVYhJxo5pP
v34f8+v8/Ax8/0F9Wh5H9uoK8bN6YkoIWqrHYEfVeXQYkHxc6P/06egieqmKunhv/tv8m18KaIJR
EDb/48e/1n/+HaDnbIX44S9oRLFFXLZv1Xj1VrcpP/qngGn+n/+r//gvF8UNus///l+/vKJUgUHe
VNFLw/by2WEh85n9/fFoBSns3/ky5p/6ei4C58Tw3bA5GoCeZ3T9XadJ/sMB3MyQj/0Dri9Hpq8T
QIt8WHgOWCVmnO/HcPDruciA9ETYGOgIFQ3i7Bj++imc/7z5fIB/K+siv+aHh4QF0lHpgYEVnnlO
8DM/dZqSDBTg0PjWEYz3LmhEl180vToSIpp1ZQl2N2qntd3XtZuFWTDcFQ6iWZLJCbVkChE+Dlp9
nYVi9MI6T9y+oSdAxitmPOyJcq56hYLBo3DiZw0pP31hFJWjVAsvn4wjuM8Gs6T0WPTZFXDLe8Sx
SnLZQJe8Bjy4Qa5NZJw/i5YhTciRhJCdKMiF6AQgRSl4HMsmPPvETZjnMB2tM0GROC51UO+kcfD8
FB4p5nJ+Y1qStvJpi/fLelD85iQk8lvvWuY+HXFn/X2iOiEoz6TYRGEcj0x8qos+1nd9a1wRRjpC
Z8vv5Cm9aXX4dEVYvqgssThPcHw0U+RWpIKDsnoO8xgFpaQfzVa9N4fhrg0jw9WYP0qd5EkZHecg
wrChlyVJFGMPFDEnGFrRw3vV12zMosmTGhjXid2fMD1AyZeiV07QN1mrv8l6HC3rjA/FsJtLS0sY
tQyQonp+P6qbMnkatYCxTB9t5Amjppj9tllq34hUUVdFTqp5rjXSYojVTdiAXu66ygMns9VCLV4Y
1E4gBKnNajnJl2pM6kcijzutVC99tSVnUwvVRa6rmyLhPKDaSe8646BuR5hWlPzyq1w4nt3WmSv5
hr9MrHqd5c6XICz2pmPtaw2AP4m80kKbnGvLB9fnhDUyaOnVcKZVKg/b0i+PQQXREVKpV1ZExmc5
wSW1X743BfZMM+pRPkvZSx869ApHBOaOgVrb6cBNz5NmHq9LXaHd1NjFsTFiiTGlf04dvNSUtIsg
VK78UsK4xgCHxmFluLBH65lm6lHHP7SxCs0oaHYNd7Cp2xWns2g9GKhiTVkUS9qJ26wbT4Mw7pW6
ORJMdIMRJnEjub7LgvAq1MPIK+V2rQSmtGVGoC26sLoaLf8G1OLlJFq+IkpUeqPSBwsnimiOVv65
9afNSMj3Vhukl0pIoSfrZbIeDWYik+Kkbt/SlQqMem0jjEGlO067orRO8VjAGaMb65ZtjqcAGjRo
0P5Ags9rSt5Q1Nop54vowoxLTnGytR8LEIsySvvFSHtL4Qvg6Ur8hTiifjU6zYnYoYdOCvEO8GQt
4jEz3bDV3rOxnRZJWVy1U+k2rUV6AudWyxomGlcF8Mqku1URy2wknafTnyeIdRq9kfYzMYuxHoze
uFYxMm+7AqZLWqlbVAmah5sNsDbHc5MsNFq0ur7qRXyKAtMzpeQqS7tjgDwZ57cFiiVOllHmnGmA
iJWZMr7uyx57egXEQ+TmTa8QbSNX8ruv6k+ylr7ImrEVvcZYKWgYX0vqm15Ld/Wcyppl2V0GkwxP
UXs9jo2yjszssRh1rB3FCNGGdIFa31n6YF5qsV1abCFYBcZQPGt9TlyhIfiWW+WiNcSFiSR7OSUM
87vpudLUR8GoYOPIcxqzY52ntgM/02BZ0CuwJibRCgsk/C8EvtVb2Wquw7yBxYj8GttEMdLhSmLW
Wu2pNPXrJpvp1KFNzF/rc1Zs8ZHHZZmT/ycfu5aUOKzdb900gh8xGGTGaufRzrI2SZITWQy3ZOG0
AuuZjEAAouqL1PFNVmpd28h+bxyjwYiQIYoB7oEaepoqrnq0t7vRtpqlMhHeG5EPpdkR5Yk2ehE9
ccRQYXmRWf12zPwnPCiDl0k6sDcLfutAUrZbVvGLaeUM/f14Whq5vwp0bdyYeSW2RamvklCNvNAy
05VtU7WxHk7rPBZPlW2s8kqChumvCybEl3S3TNIWI9pYNcdIOALOapBy8jGIK700GXysaAduAW0d
YisKCACK7TWyDGI4ETK7fjeOu7BtXxPSJ1dh2Wg7tdRi1yinlkSEIN+EeT7dTn3GvelHaWXY4BAk
ZsmLQM1YEZtuq0EPW1ACEkhhdPsgdXa+M+2laMo8W2Gc7ifTZZX5kG6sa1uyzMNUIywI22lGOOCP
aMObHH8OG6KSruDbk2QWShVehubFFBnAXuww68GGYjEqQePCcBswGYTnJgK64U+yl8ByxwIx7QmW
OZDb6RGOce4q4hq0WMhkrFBPkhd8dIz4xc6z57T20b9YDqoIUzIIPTUISbTHpW8GeM8nAWRC7u+U
NvlSJNI5raLrhEwtF5eouYwrxVxUevmWktsRkHxFcptO6kyk8yth+Xp9Kj+W6OgXXRsdfactVpAL
O68XFaYTPyFmixSbeIiDOxxeZG36jyaz+4XKV9dKs/cqax7R9QKba47lBxKBkGofIetScbAlwCO8
awsb4EcE8ECVpEt8UbInpdGFUho+eOtkn1acRHT2VEPqWMAU5W2wa1in/sH2xwzv6LiDK+zMkXY4
svL7bKyOQ67mwP6zjFBQ3eWG7kSt7I00e5VK+70fUCuYVMC5QL5Yx28QQFZ1WzTr2iqXdcm/9oV0
J8fyYQr2WcxovLUwvSRfnDZ+DmsW306SocRaW/DV81OD8a02qx1BVggFEm5PRpcWDNF+mHieI19F
haHCcGIUtVAN65pcBP4zC3iXwWWtUmWhyzQIMPtGa05uT5zAttFQrAQnnYXWmNicAEq1JdF8goaA
099jOdoP5VCgV473CSKptZY1LySK3weWT1RLJo6ylZ3nQ4yiseE5eQBXSMm80daO4CVuq75H/VDL
dGhLcS4j5zAiFPE0U1y1ElpYKzYU0CDZGgYuMgh1Boz12YJhtr2osyzATcRXJ5+gfGgVCphO8Nbs
nOAhzp0LO42WUk7TOye4y9LCXT/G76FiRKugt0+jEq+LaV07JOXamGFzTxkOtpTchOmcM6HrmQsL
Zx3HHem4FgcZbXrWbNysffBMT+egq3hS8P+E3CzxhdQyLIMqczU24q7a8/W5CUZUXMgF7pTSWgwm
ptiasn+jBelGhRaOQcjzba28zM2KwQX1n9kvI/o90n3YFYXskptbVzvAHz0TiKjv7G5VpJ00Xo7c
nVw2IsnTfRASwYSZ1rOdZIeNjVcBR5QQ8Wo9OQH6kUJaSXTxvTyR+lWkF56eJa3nd8UDPN6JeHX0
5t0YKMtUjW+1Kr/udXNYgXR4F3F1r0eWAbxX4Z1GzcoxnG1o6V/gh56HyMHpajE8CCMy5Dh31W6S
6AJNRacsJHQ4bCcj50KZjQ1zFD0fdb53nM1bh9ghJzyIStEXKTMYDHzHrono9FkHQJXOIseNpIAA
qx39oEwjp5uifGZvgRGfMvDN7ds6wgXctPLb5Hf5eoqx/o2dvdG79izMCRBXSL4PpcSCc01P+yF/
rfpsg75Wcg2yiFaiNg+6SK/UpKPEY7RiZEW/Yd09OBBQrdFgszPqetN2fKNjlQsaFZwEHQtercBu
qSeTAIl4XcIhxR+ePCUCZ2V4Sso5AmRc9IO2NSo6aY7dHaUaQl1eNqfMiF+pT+EmKKPbj9GxCOSj
4TBezLujjksRZZg0CdIwpGDXycV90gfbJoweG6u5LZ0Co8AkY0JdD6Z1DRrF5dyLGVN9ikpl49QS
K2MWbKfRmrZxm5L5F9+Gs5LE4iy4DJsy2rMqPOlZgYVv6gL6dfF+CJPCqxkeuWM2XfTdqLpEsTyU
nQy8JLns+/xLUtok+wKNzEbnMcWNGGnhfdYjufu/UtGv34oZUlD/WMH/v1zQa7/Uj1xF3Rvn4de3
nzsB8w/+VdPrfyDMwGw1Q5ixInwr6Un2MS0TbjHiDRmjAi2ZryU9EIY51MI2SWnVZx7kN/GI9gfK
XLDFUMD+RWH4VML/qqT/6H99a/sYs9bYJD2IfoJpqhrY0x9bjKEK9qhrNfWiKgQAx4OUYh3lHMiE
LSNDXI8Tvt6qlpAH5yszEhJRozKOisWwMDJIHZXTUzv3j/tskLaGkWsXLbBEr1frfJ/5TnaNarA/
tYNeHvKoKV6agDhzNeuTa13pqz2xx07uNoP15gML3BSQZFdKXGG4tsAzPIX00h1s9Cz3FbMC3UnX
iapAFk5z47kjMOZd0qLpSq1NGpZOyGkPWTLrqA3LsjRJqFZjpqdynLlRaCXnLGv9GxXr1lWLeDC8
lmMD+Oo6tRQxbckIBToE1dxmY4LxFSCV0Wm242TuiGEi0Jy4g2L8gsm4u6wqoEqErVaq7vkThvAj
VmKolUYk4lspRplL4yGxLLYDk6Z4X2kj3NwOi0jSttpW7zLKAFVVPYvh0mxOtZuS1JA5xIiNyDH2
3ZxvBBCTqCMWZLLoPwKQJDGHIY1RrmnrUanj7RgiPfKKSb+alJrKVu3IVCoIV2riNNyVJmbcCwPS
xdYWdtRdTTFxo2NlsPm6IQ9mf5E56ZhL6/+sCHxFwSQxtPn7Ft+mzQixeG1+XhDmn/u6IKh8g2ni
8V1D7A8nhybbX3Iy1goAQgZX0v6V9fUVvqL8wUSSdvM3yspX+AphNwBnVZ3J6NfW4D9YEX5sNRv4
QNSPVjl8C6x0cGB+XBCaliACqzD6cyvvSICKx6ui/vPp+Ns+4p8owG+rDu8CKwPNB8e0DBYf3u+P
F1FQcsZxUpdnrWfqVS/0D6pFqKm5dsZXJ7oZ6DYkl1MRmZhiw9B6qAJLTS5tUqfdEH2WulPNkk57
AR5iOIC6XJpatJxwZDGu1dxxTM++IXlpIW3HGgWAKK4bGZ/zGGKuFdbVENUbfwQgG2bDioVJ8Qxd
7KSyPxEw/JyOyReJDJS2LLdkQTwwseNEG4XIC+qlreJgDHHKKEP1zvEeuU3Ue6nQrXUkdDRWwLoW
jdFvRMcxq7XiW4ucWa12eXsPgSlvZQeOmaaUOzHkb2nthEifEWWM2Ztfypw3sxKuizyQ3FJXK5IT
Dz7cFc/OZ/lrPzNFLfl5qPMdUNSM/k5+0ynBzlfV22pg6Vaj5j7Jxho6Sf9Sm/pu1Kt8JeLyIg+H
3nOEpXlEmxmuX1TXVYSAwtKLZhmM2kUWYMxoau0y7UmPnLr2QYq11dQjnjFUC/CJ2rzHFkwFO1IL
FujinBf63uorHc2vQJGVCCASMtM7yufAHeIWB2HJMqp0YCn0crpXMoaH3M5F0UpXRs+8KVPTmz7D
Be/YyaMkKp0BY7l1lCY+pk2vuIj+d7UUsQAq8HVQBx6C5kWLi5XTUh5lverqg6BISfN7f8Jv7Ati
nItA2VU2XPims9aTZbyUEVLvfqz2iORe7JoJsx1H73bGCTLQ7ckTjXODo+Ndj3pXFtFbJOiTsb5u
QpV1Xxlstwiyc6fWz0ocy26l0xmF7bhNo4SmGHHCkT3bQTSQbXrdoJOTZMc18vaMjPm2C1rCWFLc
lVpYze3b62BowOBbQevmPmJ1ncwMbGSEuM1brx1fq0RFIgCnKnC6+0Tm0BqN5nscO08ooACL9UDm
tIFAdMkPk4s8S9HPxFHpsq7cBqO4znWj3IWJdgpSy/LCIux5WIenLgalU/aiXdo9nwck2EfitW/Y
vWKMMvkbO7K56ir5NglSjuogiQbJjhCyN7RwpPdGsh/J8kHBDDLX0hQa84OPtJ4cG5Pgg0Ybk235
gaojSkD4m5JPw4F5KW6MoJ8WxKjwlDtpcptwGtoaE1ZaU+tvhFA30lS+Zdh5oqRMF2lRviqNoDNL
nwZBOA2lpG/2bRXF97reEKQC2bY273JnOazHcIwPWUHJJklXVRs7Gc2/VJDWkhHt2vU2xFsCASsm
j26dQpChqwHGowQDqF3oJOm6Fl0kibicku8mMc7lsS6sh9A23oAjiAXLmqAxrECwKMnCGvearX+R
hnYPF2KXGe1j0OoEykzaVZUry7hUrgpF2/aKdEWsjWdKwZ2amI81ieWFIsOUCc745s9jFl5MdbOC
vuL6zvhKvZJSlsVeUjfJEpSJmwgCbeqqQdQPqrrsjhbRoJVIUjrik8egoGdQQqUa2xLtSuk0NtVd
Bsp66as11ItwpYrhXqrfjJYnsTOtlabHVub6ZJHirvF7QlnjdpSkJTJN684KugF9ZqW6cYB82LDL
pjwmmvaQFbp0PUxiaXV5IKMKZt1aJIVejovMmLR1gzXVtVOkabaW3SWiXlVN/9D36R1SyUdsO9ol
mRzTmQ1PrKpUfBGqsg0r7XXw7ZOYSCNInWAOCsL0RdvLi0SH4zhGL4gQ0LlBhDpeBFl4HQXBMw13
ye2TNt1X1ErLMmsgFOa0Wgksf8xV7mIf3kRREXuOJu3arn5olWKi06ZlK3+mToL6qQkgYu+BHM0a
0EopIKi2nE5SY0s3ZkzXchydfhlUBZVkpdf3cFtaT2+sbMO32fZE2ni6iU6nU5p+TXMGPlVWjOs+
BxrTpSWUmYamNV0oY9OnjrKpk+5sJM0VaY9zfbaOCQ1ZFJL/gq4vRliq3OBoeqiU4TowKnPr6O1D
4UAj04PJ/w0mYR4Sf9p0AXHa8447W6LlTzu7mbalaquiPRdgvk3lFNs3Jq/aIJ4o/h2p8MdTxLzB
M4ZE2q4AJIbhZs1j+e+ER3VdDI2KlPhs+0s/uRMjSJq7745W/5pOfi89+t0l5n//7hKkYadp36b9
ueSLOeIyDLsnvbz+37iI46BI42ylIHb98SJ1mCRDnPf9WatuRHEYpKPUbX99iZ9vCx/Vd5f4JCBo
aGIGij70Z1BHmVhNFAacQnLrSzz+5ko/yTzmm/LdleZX8t0nloadkZkNb0bAIFNypjXqrs3oHSy7
bDcBT//1G/tJUcDlcN+DS5A10jTmbKLvL9cEMaSlRunJpHpQEKpa5k0Q7sfs4eMy/6f1BP//dR9m
ZMHf1xqPuDJ+rjPmn/mrzlD+QJ7nzIYQboQ+H7L/qjNUmgicwVEYmDKaAUqQr50HG5HlbALHM0w7
nrCIb50HxAmKJps29YHNf0Lg9g/qDPUjqebbevShtoLYQc+B9CoWJIcX8cPzUfVxTvdyOJWNLy1K
GyOHX900aha6sTo2HijR4ibqlPSkNll2Xbd+tZFkBS0htBzGkfCKnMKfh5jaUaM4IukXAPdoxci9
TQLdGVLsQ9E9O21f3hQjXsBEpMPZgb/GTC+3XKf1ixu97i4qubUWDYOALgqLUxbMbs8+D67wdWIP
owuzDIBZebWi3GaMZjZpqrXrmKAakK9bbbQ5OrbVatBjFFOk2ZxSIiRdErmeJNnsESbYd/mkRrdM
W4uLUB3zVTM51AkJeU64+NRTpND1GOTG2QhsraegV7EkZkgg+5LiPg008nVz+gRBYD0UNfNSHeAf
WK3s0AqSHh3psSeGCwwlPZDCYGYVktze6kzVA0iIQbdLKmnfFfYdn+ZFUfgcphuSkwqzzRZ5Ej4Z
nf5lMPHqYUW+D0RyT4MghQ4W9Ixno+tGhyulpRLW6xy9vxkEm2RCSiCZ2ZsWcGSFfb0zK2wizZRj
5jTieNVIRrAKfVokuTE9cqPZcs3ymp3vqKfjs01+h+anNFhK7dUf6zO91u6Q2EDpMC/KS9HbRyb/
4B796WgU3NIGI68Y+3OSac+qVt1PffIi+UyqizDcJelwMmHhLawSSp4ysxGlXt1StBhu2pKn0AcO
6ZEgQNRMB3NnHoCT4z+wNH9hKOFjGUyXhLvuY8GoXxomaCt54ix4PohItUlAPGnwMbVnGXnMuLUa
BmpWGOwxJk2ZWylV4KV0jTnAGW9SnawYpVOqSCPGdDpKvhMbxEekO2SfFFsGxR+H5INmGTHUxS5e
+LKCit5ggDMagDyFwphEmtSryjDA/dkVVoogwYdT6pSv0chgG2MNfbOVLCfA4ZOJD5mksa001sIl
+0LBVmRbrsyTqgXlVZozle0ifTvYznwGyuSbPPSJg9CheRNkuKiMmGLAMbN5QMjgRsaSOfpv46hu
IgkyXGIYN1XjP6l53rhWorkkChw5OqfbXjfMRda3Mn4FcwtSUD9ZnAgXg101ePojczVUgLOTogD8
ZxzkCKyRgz3ClZk0Vmkb7ZSx2As9ZS5bRNylxnFT7aFW/JPUB6se28ZKx4vfoGIGqZmBrIdftAhG
6jeRPoepsbILRAYqX5OytIaZrPlUhvVusCgiE8kCghwpyikkLdzzWym8iiGf7nKdchQK1rETJDCS
Cb5URwcfdN7xnOPxwqA1XNJewwqDzWLHdmkvWlX1N7Jo9KUNNGc9Bky8ZEnUmNnzfRDKABKDVtvV
ZjDtRKxIa70Q8rIQ5aWJs3o1JeNOkoOHUsq0sxpHoCWx2W+lSHeIxC13Ery6YAj8JeqLRwHB8b3O
8RaFfI0vrTh+mwC1MhJztKb6c5v+z/5psKH8/f5502L8fPs3Oyg/9XUHpUEPNYbTy5z3Nrfqvu2g
H+mKGn1k4D8w1Gfqxtcd1PwD94BlodJD5w1imX/6JseD+KCwc87sOvKPlH+2g86K8e93UC7sKPgh
sKXq81nr0+k08IUs8qwgXzFFsDRE7VM1MppNEsiaLDiAFdN7LMeROxb+RVTZvWcAJ3SrvDtDxd0y
95cWtaEiLuqER5NlH7bxBVMoSks1umZ1ee3kDupf0UHqlHqqx169KCa6Zr5sBm5Wl6d8kO/7yXxS
a/3BEZjDbaDFKz+lqHBIpEiJmmUxD5GNV9LCCtBlkQh/h/XzqRyL2y7EPV00den6pnlX0abOh/y+
caR7Pyeo1LROmhZddEl4ALH8VBc2AhBUMpVmvFA22suMNwadPzLXqlrsqPYes1Eel3qsTfzaOXQy
7Te209+OagmYsOlXuj5hapvpkKwrKblO9qvgXOzZqXmoG1pR+ZS4dgABK7GvEJO8Ygk8461DOy/g
IcsB6SF+3x/tsntA+fYCY+DRF6h/i/xFZ8snM7uiZ0Gg8qZmiB6UDiJBGpxx8ATBp1uWqV164DnS
RV8WL73iXDAtaTyUB3AxVW3yRh3dClUwVFPFOrDTAE32D3mQehOo6xVhASu56neB42wC1bgap+49
0uM3dOI3WhSs6fc/ZAGCE9niRXKTHLmCaNyjY1LlWGAHFual2dUXiOLe09gpyCKQsXT6sttWSKQz
Wb3XA+NKb0Yfe2Ryowfqe6ua3XaM5h832nala+1DRvRyjbQRdY25apuWfkvbxGuShB4LhkYrtWyP
amigp0rIoCXgy1jIOklDU7KSLbLKYZGtRUNMAjFXRA6V3DU8akRdGKb3IZucoRlmVNdrvy73kU8y
+JQBsaxiHxt9P11ZqUHVbaxaoQsX4R7xXAnbq9xAbrWnOvbSlifOsNBj2xMP8VhzDzO1DJZ9NV0T
m8FVc3sV+N3Kl9vrydZ2CAa1haWmOaAGosWhYiAubJOXphgebHrEVDDls6wwzs0L3636AcelHG2Y
70guuVIbOZdiT7JItpBB5JrkeSsyY6lalpxNE/Yje4v9lsXiYA+QikkzKZeV02zNYBw9FeHXMsiG
20IY9HKR/vA0ohnVmue6dUq0aqht9AmbZjaY6l5Hn+mBfybKIP1QoyboUlFZwheuPtSqfAwoV9UG
gujSjAxtZX5oW8n5ReeqNyWaV/wn6F8VmqBn2oioYqHmhmdNDMEjHOplnfIILXQQsceS3gkO4dal
bbiQjWATWg5wZiFLbuAYw6WcSjscsJG2HKwOHgpKwskbbLMW29aSfbLYI3DqRAhraebVI+yLPsVG
aw5izalKfUh6WY4u0rzkGM7YSvGYk7/IQdvGbmKO4ByQqsx9RhIODbGMItUKbuTGSutH1e8C3wu1
CT2akDPTf0qMKNQvZBXJL1T1oS3d/5SbH6MtlUrv77fL41v35fXLz9vl/FNft8uP5EPmWTIFJdOt
eeP7q+AEoYBKk21Ppz9qmd+NuokpVk0G4yYFqSXz49+2S9BWMnWoRZQikyiaL/+g3tS0ub3x/W5p
kH9lIWFn1A0Ni1fxY73pt1EJdiQaT1F+1kaLWsAf+8XQOLfDpOJ3GFUkIWp+sKf0ii73M6lEkmtJ
E2rSMMVVjKpzYTXOrk6cEy2PAmSO+ezQf09b526axC1qz3fQuyvSh2lHg9RMy6xEPmTOPIZpLavZ
AdIvjGG4KECwtGMvC1DTpqwvyE26MwNzWmmFCTgYcDPHzZRt2HhIUusuGKdnybdz10+cDf372yRq
zpWjHyPbnyW6dI7IhSuKgdSNrkFQNKufpHqv2CQaDnm3yoaC9wwECnu0sNtta4crQBf+LHtb5aF0
j0DMhZS+QF93TO0AFhfi5NxCf+LnRBtPPRkw4AuETaqBRjOHA8lr4USnOmFdCiIxXk8MoyKyZ12l
rN1JDObCiDVaoXMKZMDKuHQk4zGbEnVJpWZh9ZXTncUO64leqT1p8NdkIs2R9J2X6o7hOQwa7J5j
uaa01yb08eVUGZwROpG4QURZ4Vgt9QKq2gI54GCSR3mr9D2ECNIOROgZUHzCZfqRXDj8GWMYzpGG
fjGb/0g5tE0Uq6QeyumwmeYYxHYORIyDYD3IRCRaH7WbodzqFuZJwP5vJXVcOgcrgmp9muaoRbPm
wQlJX2xIYYwgm5PJSDVTLAxSGskK2g+VBbGC/MZClSXC+0pgURYksDnkMRlxR4fy/aibu2yOgczI
gxSKIW7/J3tnshy30XXbV7kvAAcSPaYAClXFatiKjSYIqkPf93j6uyB9silaJsPxTz2zQ0GiiAIy
T56z99o4DW7CXLsR3xMjx32vTNspSYJdrAcqbvxgB+e0dMNaPcw9wZPEF5r7WZonZyGVUhog3Rvk
VBLficZx4DRJgqVFkuViY1CSy4qdJCw8e4BbMZB7GaONcGSSMAsl8FWSMSkFcf83/f2SZQ8Z2Zmo
6Kj5kvpRJlWzCNIPgAWewry5QoUUu1Nn7VJyONsG3ohcRrsA0hUZgWQ+kdmZ48J3lWR5xHS4krSe
uzneMBc+2KR9Im9/QqjfeYE6ohBbI0GzZjVONB+iNSy06rWWj5YeyLrYVAuzh858qm1GQ01vnBr8
7kukbcFfPYg1ilSeiWAgmxRt7o2Slb4pikvwzpdThYoEgZlyTNZg05qE0yUdIFqEflp8SdMc/S2m
jHbVEsereDjTUFHo81VsUBpSHDn22Kdcu31c+hZvu6E85wFiSV1OO1dG/S2yEJnIMN8ZCxiiqcxM
R23Mu6IID6DKnxYrOrEbXatMKQR1o2PX9hd25F1uAz4zzHqP1JoHMFjp9tMmSJSveqJVvFDijsf4
EbZAxLKATyEGkW6rX2w88xtq8qsywOaQt4LJJ3naXhQUupMZwEqsrhHMVKbsak7tmzRlXUFHUu+D
IZIpnMXoF4b9aQq65zSrrwJBQF5A/rOHeDpw87m2N02iHyqr1a4W1doiDYyK62Cok9uqEAjSVYWK
C0F0WR5BvnwShbjos37eIfqRNl2qnHGNJE7LadyfM6vw7bT7ig9h2fRmhJpnHfSR+WYzKmYAjueD
SZfOHDPQmuMigJYpAksCs6Kou2lIugOxr+6NRTuT2nUoc/7KGEgBlh5wUIukeWBFvSTKqVFMzftv
y/+hZnlT37bPq69N/Jz9fdMXr+Rta4AYx1raaepqZf+56QsDKz/2fjZvmrzsCH+dkZHAsEEDVbL5
wR9IpZ9nZOUPA5M03xKH6h8hl/9i18cC92rXJ4pK0yktVKqMVdjyahJlRnVTTFI9nya1qgS58rCU
TpVJsuM3eVkKnWF+RzcUpgyWl2VXGlTSNICmhLrZ0NKbQEGIaoFF2zViMKnhDeUz/cXWLe3gmRjJ
W2A6Oa8Yu0G9GIqv6nBW6Ea3p9IwvkWVxUw3J05XFG3s4y9QN2YbN5vOIDECCbd+ZEHJ91KRdQhK
MGLMLlsZHfAkbM4VuAPmlfYRc1B6ADVWeHR/Z5/gytU3z7KVEdHokgiJ3Qlr3lkb5gsK4KNVdsEh
j7PUTyUb2apNsYZ6g5hX8gdnf7LNaN3FkYyiInBFalZePTFzpTQgMVCTnjLmg5UxFRdm1N8JI5IZ
pyNCRuxcUfLP0rlJjM9jwQmlLk2xpen8bUmSjyiawdxpg8hBTpnBsdKS+QNC/gDnTQTCQy33fZR8
7cJFeUJYgcmJ44g/GBmZFoTuxA6LTM3HLewDvD9BpSBLF1o1yUc9LrptHCmQQ1j5jw34DisLk1u0
NgBs5jup0gun1EhoZou6Ng0cGSRcFpw5MJVHJTqhJUVcrsmjcKY5lY4iovltzk2kPw1ViJtMVkmp
DmbRbcP8uwZyabDNX0Z8d4OCwfA0C1QhjhSKFfaT8JtAxNhSd1mRNIOlTgH5sicMWrmTlD6L98qQ
LhfNUNiXMVzA2ilJpKbTwk0ILm0E4AiwU/vbIOz0qOCFE2G+3GoDk+D/Vq8fgWYrzPmfDyw/6G7O
c/Pp93y3F4I8ennQ6bV18bIhLMsvB2UyEl0C7VjhiEr7ZQnT/2C4TUIZwnbrf17dn0sYqxuiWqR6
69iJpLR/5bpdF6hfji22jnd3VQkr64Ko8ulejsnUCHhNR7jUOSIvqT1P09OL2/KbOfpv+HE2tmJa
nCppELh6Tdbpl1fog1brAn3qz/2ib0DsfINHcc6C5EZvum9UETRdmtjLNWC/Qir2NNt3TZ2wj6PT
NySDcCm094XJdK6V75I+8rW2+iJlYiW7H3u9gf3bpaOzRNmlGMhQPapDV6NNogfJ+Qv3TshNZGhV
55AVynlpaavo+ylqg2+jLp9UNY8MD7mx6WnwI7/UShZwfCIRU2tZ1ho5lB4TmFKQuLTPfTTlfifM
kDD4qD6IVUsB2fbSrAhSz6zm0W5CdSOUld+paeNVMrEgqErZ+QJNojM3BbnA8cdUUY7sKp5t5/Nx
DBl2ZUW5Y/6xwGGq7wI926pLfLKiUIV7WTDoG6nstelbnkqX3bRCz/Jl8XtSysKquzUTDAIywCly
ZlNZ2tHpuOjQ+rl6P19PqXVB0YfZd2kILabhZ5rPgRhG6s1kF9qS16fxc9eSW9eaGlpJa8fKdymR
EaODhIgC5YkMsAtcGLu81o9aUeteowynjG6ikaubpqp3BoE9LI/2fRIv3W5Js6smgCjRLviyY2xa
tQKFREouNEm76zKROspCqJu6aLexSpZC1E7Rprfi/YyyinMdMqogMbYo5QhhWiN/NXszEnzMdxE5
rNSDH4XFBeN/lwS7B430tzHSz8zdntpuuUxj7SbK4b30Qb41teEUjc2+nMd9OCWYaGiz5va4g0B8
jJTs1oDQ5aBmfsBXcy8C84Hkd79sjAtr0X1paj5i5gW73NlbSW2faJ95ypxP1KvLF47OKwLN5Vjm
qel0rEaYKH0dMnYkLN7prBb2MTFioWF+5C3wkzh5CgNsWVPbJb7U9zw29be5THbWatlWq499Iz9J
knzbmqtHhtD5YWKYpWefljS4TnPoVdEcHtNkjQHCY+1okgl4ynZrvH2cWimI5Tz/ZAuCqqUqIu4P
ceLJWsWccWwsnlRhUtGN28TWHvuqDeEHgy/MqvXtScZbWSQHqcdFpdQjgC7Iv44k9JvJIjivn9FF
gZxdj8Jqu7Ez2qqKFgebsTXOYacYm1g37pnuh0hAAzJtbLrR2KrM0hkq8F5e3gwBvv1ZosGaxEN8
nprYONaVgQ2AW4HcsQrdRoJOl2Rl5IFBbZyslxi7L5zRii4gOtnCwQdkTj5UxhrVNitUKc0BLvZl
pVXtvsAG4AiVAahQ6nbHQDbZhHF/NESI2Sitiq1Y9G0wLfAgJ0U4vZZVm7KrSzTwcXZpYjYgzExq
r8EjEhUYVJ/1Zb5vAvXZTOsd69spwadG45zowDmTjkGqyBgkcZynhj65XVbmt6XeS+shPMgeegLY
xqGh6awYlxqwbFYWF9efR+xQ75VVcTBrkwURu5Mwx+uiR9NamSt9cL4I0Tdmar1JhsStlu6YJRJ0
t+gkZ/IDXVh4wCugB9BrMaUftSTQOYR37mgFBggcEtYCLFqfqlFSXDpHq8e/HvO7VOSjjz5tq9IY
cdUFn3NkLSmy5rg5LVZ6VpVql5KzLGqjdTO6skRsFyAhdY8lb6+IoN+EKqyfbB4+GFJ1R+HpUub0
mdcSELeZR1QFrDn9xSgb5cdiVbFOsfQN3KDszT3wUC6neQ1m4kvIlw1Og9RE65ZEw5ZEr3nL0h89
BDVXoMS5K3KVEzy750U/N8kFUMFzQQKMm2Fs2ZOEGTlaad7pdYkNUkvwxecKktFZCwIiH+o7I5jv
LNQBa64zPu++bH29D4VjjpPfzRYATBmPWDnXpZvxg04z6P1jE2eWP1lzjMc2HiH1aVGHfYzjYDpW
vmrljTfn5RMyjH0xxv5kzpyqy0t5Ni/Sev4gR8lmiElmJHHyQ58pdxaG58M0T8O+lJLGK4MMGH3P
PLyS5adVuuKpk1Y/9gYIhqqkE51GPOgmDXK0t+qjsnKDA0WffBCENopK5hhvb8+/nl8sTkFUGFhT
VduE/o8d6NfNmYE2x5owKc4dbm59Wva6MV6PTeu/fRmaqS/LjJ/X0XRQIYRr/b0I6Mx1vhIV5zzL
TrQsP7AqXVmM01ku8a/MNl/AnO0G0k8zK921SoQbX+FQURxYqY4QmRikp9c0w24MBt9q1Lu9DX0q
DL6WvUEkOa+AtlhnQw6f3/7ov/3kiHBMoSFyImjo1zuk530Zd3ZanMccV+VMCmXuRuU7bCib5vWL
Moz7QxYtaTKIJ7lDnHRffQ8tTM8ZC+ZwrkLmeXQ19yroMEcOkLwmRKqtyX6PEqzSa0J7vNmW96M1
gtaamW0GKiedJEcDufTX0NLs24JdqS+xGCLS4C0Z2cppkTl6GZ5jKb6YAmCHo8J7Y+Tw92dbX250
kT2nmP/pNMXbZURX0gpjE6FA36Sd+llqFF+faOKwKmGq1GyCLmt1m8CJRxDDxA2n0L5elK+xRrw5
9tB+RaxMZnaaQVSiBZ+lnSzG5CRH4PeXqY+omyBaRnYCMDUO74Ne5Hf1qLN/CEiceUWf0Ki6nSHG
zVCyxYmV0JtAJq9k5RLnGQOqBSuAULNjID/3mt/r5p518cmSODeacGznRHvKiFPcFMibIGQ3kPtl
b9EoPSZeMw+BPIgtKd81HamouZguenl4TmMl+gw5dCtjigfFHZ2UEhaZ2tZ+rNKdpVt6kzOIPNu9
cISxTIfabN8hc5G68pvngRfS4nGAOmivw46XRTPRNWXBv3VngsefVbsFIFsN2dlAEoJvI/oYtvRa
adO6woCXEAOnZ0U9cVcQwkcpRq2wPXXASMdFOeml9ahqReS3uV77fS9re0hM0OFxFzgYiK2NXGr5
TmFT9yCC1J7V0E/XWIjkvCzcWK9vwxxJiYhaIhxHss0xk+FcBX2RL2CWjGfkfLo7iNJ0m1z5YCjM
yNs5pAcgPAOorduQUoq5xHhMLIOju/LFMIFYVSPLgJ0BY5juUDEdTabSdaneIoLiCQFoMSu3+gCo
P4lu61i/yU2bsWf3aOEoRitWyhuj7qkF62HT9uPgWnqLJz2RPBmznycM6VnimXArW30SqvQoImQI
dQcMLiLHc1ikCS1WiWGi2cpysrdxiCslE8Jo8LS0k13LGg9mk3BLBgBtqIAZbt6pY3W2rWnf4tRT
R/lzjY2uMI0NwQqnlO5GOqSXJZYhszD8sdRAS8Rg8lEDKnZ8DYo43c/WsilbwmqzwMsrCprSCDmX
8DIOkn091t232JQCegeyq/Uo3To0/LRsPAUkgxDG0QBbSgod3xJn+g1CbuRYVKhpHx0lAepGjA8l
6rtQiq/0SIMzU/pKKh1ydvFoDHeWIK+5av0a5o691yC4CHbNLBj9ju29aPIK3XrNfDuVtoRwHBYC
Kkwbg8woQjIvZRbdhTCVBBWZTkYHdvEdqZ2HcKyPxHxS9XaZdJlVK5ovMy+0kOwG8D2QM5C+qVWM
eEzG9lKNJ6nllJDBdlLzTdmbDJ/GK0PfmKB8UOdhmzLgyWg7gMQPlSxhW5JPho6TZQq0YxKNKO2D
IDj0CmkmLfJEokuDYjsOi1dRN+zKGWD3bJi7ZqAKMctVIBygRA4a8c7W9s6bqq4qmheyZyWy58Su
0v5MKAr4khMUEncamGeMl2lzEpxY3t6Pfp0z/tgpXqwMq2ro1+tFBacLVoay/CrML8N0M9gIOB5H
bff2hVYX8N/2JEPTNQVOKsPNVfz78kpj29GOl4fpvAhyYvA4tSsw4k5vw3IfldAS02k4VFWMT1XI
4oQFVHeMpCQ4ZvWjj/xetxXSN022rqdCJWND7e+luLwsZfM2o3zj1IMdTFkt65NXdKGfd/HHArOA
FGXVTdhjwtfpz2+xwRz0BPOMKjazkNHWBMG26FTzAaDrbbUAClb1i17t9rGqHMgA2uuVfTmmQKjZ
tk2J8Y6CyLGXHCmy3KkSDzlynTgL9mMlUARghev0/HmRZ+ScY/hUT3bzoIRBt1FaNXznrv7ab/nx
9b28qaus/cXjkhpaETeBNZ2t6WO0fJqtd9JL3/v9rzYOWcqokcN0ZnZ7WyWMpdQP7zwWbz8Vxqvn
D+RhKqdKOJ915SrWhMNtkqP5hwziHz2c6134qyv18y7h8aAkFbplvHr0JrMdgR7xV5DjonSfuzGn
JvkQT+Y734by6zOOShzdnYkafZ0GUJqKVxeak7gYw6VSzpQxn9nUvLvMDzxpMzix++AUzsPecIfj
p5vYje6nzXO2mT/xRrc7df/2XVXWPtvrv/jFa/39g754Lmz68JUNQ//c+YMnu/Jmuu23+TVz9A2i
1cYXW+6zTyKAIzvRBj3qsNHOxee3P4X+u0/x8ul8JWLIiPi1lIb7/jjtlQ2qdd++Mp3LVnMib/ug
u0fSw7f2OfKnXXGr7+6ADW2nHeues2xL22k9Wmee7UnHflds20tSopHRe/el059ld97qe3tfHph1
fMj927c/uvreg/+qgpaUNs4qkuPPukNSkt9+rfzqTnj00j0kPF68Kfz8otxefT5u+j3MnslNLuji
XxBF5LL5bIzU+RK4929/qu/U3ddf64sbarzaHbCLDY1p8Kmive1E7rLLt8EdGTOpW4KOcgKncWcn
21rneqd8pJG2efv66+P798v/9R69Wm1YalBtV/N0lpdyY47jYZFSWF3YgN++zrqqvHWdV6uOFZMq
NizZfKamdobxszztRuPTrG5qmWysyn/7ar//qv/8q153lCVIfKpeJ/0Z6AInv5sqvP6/XeDVmU+d
0Gsa8FDOqX5QEvqAtum9fYV3vhhzfRFfvO5SXlmFOfOilRhC89SvFEb/1jvfynv36dXi1oqsTQYz
6c7T+q0smWtPift/+ztePWB9ubR90ebzeSRBIzbOCIVcIhbevsg7T5f5alUyglCaac6xG0zEgtlk
FmUd0t3eNfGhJ6NyHiB8vn3J334/ax6PWJEI9ms1lwU/Najirj9roMISP1XRPRvbt6/x26/nxTVe
vTRZCJunjrTpjBaD/v11nr/TVXjvAq+WxCXNJ6zs9XCWWbRpRqdq9s5t+r4/vvXiv3qOI7xFKMl4
jjkbONhDLoZdeuKIAMHajTbhZe/kh7fv2qp9f3OtWf/qF68Osfeq6JSIPeqRxnDBqsro18FT9SyO
y35wrha34h8cfQNd0LGuJeem26y7+tVTfaUi43YiJ9nMnbMjw2773sf77UYOKO/P0uXVw2rFzSiL
gJdOXK4bORL4babtC+E66VbzHgrnQnbmwzf5E4ez5sN8ABzwzuqlrMvTW1/Kq+99kFojqu2ZWsIb
PDTfi6MYjn3IvBv7bBzVbe89KX7gFHRs/WZbbd8PYX7vI5iv9j0c7JJWjFV3Rk3jQGVcnOSL7gvP
PPRfp121yY/mFkf1t/BJdadteom65us7z8l6iTfuwmuTcDqoJAcVPJp453zUD068VnX71L0b9tN+
D2vSWc6gtR5kSOu5X23NK8hoXr+J9qjuPmbvrJTfD2Z/+zx/ve76q1tiSdAvOSr353qjbY2tkXmT
v/jLMT4I53O4D3ycAftqR1PvOLnmhw04Pb6ibpv6t7G3Fgn/Kw7+s+YoLAn/PLo/lb/jZK8/81Np
jDHHUhWCipnKYzFeS80/RUf2HwYEHRninoFlW2e/+2nMsf4wIZzLDLuxv/2ga/+c2JvrxF7H1UqA
/L/OD1HtdVH960ni0IKACdjXCuUxTLQFrxbddgEt2es9gze1WI41gmQWvNKKag2hazgsC75GGiOO
pBigLy2I2uVplvO23/RxMjtRp8vZyepjOQdYHHKNkMbOLGk0maFN2DhZVkqluox6hgehSwgpgvor
Vd4ih0BhnNSU7Grfag2CSXvQjYlcDROeRCSVoW/q+BV6fDaK3DNlgu7aFSYi0XbAS4vhxyF9i5lR
KLWkQDDQL4CDFUa2KXMK9Vm+KWZ8FkIwysNJemAocijq4CjG6Z5Kdm0p48mpKuiP1T7LQ/w5YUVE
opHE0AYBSWd485wYawnjX6Lihml5oG94BRq0J4kUeWvf0nmcSPkirZ5+Z04eRjF/UdbEt7gfHjts
D3S0M/RNsu4BX7jCezP7ozGQpNnjq0Wj2LmquUxe2vEOy3OxbGYC4RxLVjYyE3cv6UVND2v4ImnT
ISPdCu8LgcN5IL5ME5yQXqenT+wnjdXMRWGEalSpyNJs7nt9zt2kHo/MA3rCSgcFaIt6K2myX5s9
a3aKdlLKaS41QbXXIjpOk1aeE6W8qesRgSVeFmNxI6ACNHZZ88x6w+D2kzbj6m1obHaq7AxZ6mWR
JrkIky60IGeCTzQsgFcwmd2UOE1Wpr41myAiVcgsKNR9wk+TozwvTJ3Dh74oME6gzt4S2Rp7khFe
TSaOEs2mQVl3F0OP6bSWm4cQsYWzUEIDdLvtwmljTBkg50kg501uQhy5OEe8lGkXfNgl3gT6TFqH
JgW7Jg0iVyYuhJA+E8uq+rXMRLsTVdkiSijPukCuFcHdKNT0A8GKhNjVzNzqSymqKte0UwbvmZ1A
Dkn8JMvvQfAysY2cXlaf5IquPwzR7TBmt1Oq74uwJr85iBCwWpGOkydh05SViNYW4hTVXuRdNI4P
BQIaL1G6hymAWau1WLtpn4cNvODIvkxaHa4Iial692mCcwpLfRxd+MlI31LEvhaAU7Xrb6EQp06Z
CBy2c7gPWy3c1R1gUwNWjhV+rPUWwXM8czBFD8/4VxOuJvcfhlg20O9psVca0QVhwxcA/p6LBUOz
HNb0SEpxS9/HR7h+BzoVrUJ5hXlo1b+ot9gWLM8Ca+XA9IZirZ1is5JcNWWAGWcPTGyKbSHmZ4xd
0y6dQ/CWcJLoldlugYvcU3O0zgQl47MGaz2vcu9sWqyDLc/klQh5G8pLcySbzM9HmKiBkuFitfnA
BnDRrJ0vhdC+NvAhnLKpz5Vp4kIKoosmV8Fqiekrab03CQNr7EgVGT4ZTqp2mb+NAyq7YSCwFumx
5uLxtyjs4GNnJgOtIEO2H6Q8OrJqOqnAaVtW8ezWc6kT6Bbt0nB6NqKOHdQoig3+81Ov1ychaV/T
blK9kjA0Qmc4QOid6S+S/K0ZtQNk9t28lE+FGWIkiGoIsfSjq0kc5KYefJLjBrxUxo02Kdo+7JgI
LglLiVCSk0jzi3mJtnOXHExbuU4aNJJZso+6+jaI6m/IdlqvGJsjpsLLdXpeWRGcrhmlhxyFxsFm
XWRtJDJyyFBxlv24TdLyocBo6JojhEJoyo4ejM1mDIkqiIfx3m7J+O1LiL9DUfHL45QIhE7ldZx8
OICyk1v4SOxJyf10huo/fh0bOIE4w+mGABiPAI1PK3FcgB7PRhjkEGDvm5VKroInVzT9a7TyyhnT
A38HYS635WcbpPkC2nwQPAwVsPNqpZ6PJA54+kpCFysTvcb1NUBaDlXCz6VwxCwFQJ0p0A1/qjf2
0eWSQ1gHima54UpdXzKTSB847BGhtf1KZu9pku61FdZeBY+RaZMfBMY9H7FNBxpGMTwvxcq/+cAk
aHEZKDHsmpoBD/r34uC/Kmm1Qv1zlbQv5t8AQNaf+bNK0v8wKECITPuz3vmzSqIWAjqKopCXT3B8
/qtKWksh0h0pKvA9Qw/hn35WSfofq3OZ0gY5IjWWofwbQxZl1asqabUvq+tnwBoG4/S7YevFOVFl
iIDwx+zoSRiRX5ZZ7E1lDo7telYI01w9VBFszY0WDXJET2FIx43OyVJsyEScC8YMc0w+K2DLer5k
FMbc3rH6cd3qxcTkEUJVFqlbUJ7kljialsUtlPggGRQiZe2y4C0xeu3K7Hu7KTxTrgbtMOn6iMFD
MGFrn2FzNtRqHYHtLWDnHw+vGKJmm7SVfcIAGaFZa/A3jqP2oYZEkDLpdWpeD8QOaQKdrx6HQzyT
vEAECKOOLO1vhJGOn+RC16s9yprw06A1E6swqaqs0CU0uJIwSUnXfCLgI6IqBFmz1qjO18JUgj2w
8fGUFrh7BYnXqBGrb+VIkAkYa6V5tuIYYVAH5dqNYKXvIz3p7pSxhoodFfpnrG32doiyEYhe6OCE
ireZpKk31iJnm2nNA8l6edKYXLbkhnQdIROGzPlMXjssfdL6WiWqilIxF2TaEmHC10QuViCTSS0q
W6CXjJSP6mpTjRYWXidVeuVTCivi0NdtuJ/TpH1U9VZFNqTArKeh7i1W3l/22Gy5pcWeWlncihZz
mJsQoXfCpW3j4i2jM+oLPLmzHp/11RZs2xkGmMW2zgujZ5SP1Dz2nNPUUMP5MzDs7EhMeHvf44/3
Wzsp3NXVhJhUZAR0RFA6ZhsQilj90DD1JDzXenulxmrlwacuD9BjiHPFfg0pnvrRkiy/1ufp26hF
2c6q8vBiKoE3IIY0pVMcGPJFHrdZ6ZJpCv2xQ6Nez1axrUIyNLSRp2hCTYtBS7GDi6yRjHvIgA+l
HClHRbKqSz5+4Etprp3aUgGl3zTyJZvVdJFZY7IPY2bfxAwnEOuq+SZarfxDO1I7xv0EnGYJ/LZu
29D7b2X94XVlKfrnlfX03MQUqs9/N76s04M/V1f7D5Wz5AppBr3KWvbXGRQjLMArlQVHg4G1Ip9/
HkEBSsiaII/pf2sop9Ofi6v5x3fiEkoSBOMmlth/s7h+t82+OoJqNuIx3C+ky/IxXjUzEpSaiokt
+jKXFy0AO9TpHychR9Zeb3ClXZXSqF8sfW18NCJtbHa2VNSkl03S+NQsZntvR1p5a9uxviAA6EcQ
5YXZPbRqj8hwjcSh+ErA1MXS/aQgnJ7CRUOmR1avMhlXFk8+Ur7LfoD5lc3PTPCelSjQnHi6MVor
J2BC3ioZIdLKjKBSpMZmGsCtSs1FZCSYWVr0nVj0WzeU5+e0RlBZj82ItIdGYisKQDiLRbfcsFYE
OzKR9QCr98glwoZk2xH2ZE4NOCBJiQ3hpar5ZQ4Yk5NNi+1RPNdFfVupysfISghoChq8cEWC3kZZ
iK+K7dwtBwSYjI1uEsM8Dlb7qDACSI0iO0KVPPQRZW0dKCSBtKuppAkbKDgV1e+S3uCohPS0VCe1
GVDjFExgG2ul7MBkpQpD1o3vPnY7dYqw5obZsSjzzWJWj6pBvdYKGX2H3Hxd2mbepPZEGm/b75gT
YPPNdyLtPOrzxJ9RG2oaC4qlKD75E9hJEu5BHQg4Mhhgd3HBf2nD1KMiKe+LKP3Cqeva0iLPqrLP
Io3ujJK4pK5LtCMJTPu4kq7jisSPQUebFuQc4kMWsZA+u1tmCLYN405rKPhD3fxilMVhmdWbaraY
lMkEBxV4hZ1qKBMikaZDgYykk0eSqstim8UIeRStJ/kHP2tfF/eJ0WaeYaDPFFO8QUR2Sx7N6Eoj
C3IkW75Wm8O5X/NVmB8QYdlo+w7/4r2V6xPOwR7974C9WI3OBQBNsgIoS5O5/9DMyadgGPWdETU9
HlzZNxvrwVCsRzMIXaURzzQk6FCsH0MebqSZNT1YLrOUpKxY8e3gioe1xEXVHzM7vVpm42Ns2Bxi
cRv4DfHtHKHTbi9X86EzeOyEnhxLhYj7NWQ+kqwHiQ4LUgWClUUyBa7UrOTS9KxX+SWBVgeAyFdD
y7G/GxpcD6bGAb7+CCLFi3TlQ95loWOU5kU1GJdzPKpOYfQHySYRZ6hpgAbtnZWYn0gQOlG3fFWC
/K7tzL0gRyYZUrGXSclB42xzYCr5HoIk/5KJkVdsCU3HmrLe4zBwyR8PXGyMHusG/pSQ80slEFc1
5UZtp58kKXCt0sboHoEoydX8auUTHgs1Oph5VzxEho3qeyacWpKL7CDBlMS4wQkJIIzhEof+PBKk
uunm7Fq0wWNGQJILXadxoMLsbGs5ZkV36gUq7l57Go38uVMFCSVcdORAVsXonMiqIHIB+sRWU7Wd
WmFiA+/M2dDQiATBSDpz4tWUtcISgqzyCOdDpx5i0RTXLUxc4E+DmFggCgJzVqKKjV14JxLroc9J
ww7LHO9HHVPM1JmMdqXl04dFWXrVpClX06zBaYrFOeLFcvnOdVCMNMf1gZRKozOnh6WGDNcIkR0S
wkq3HbdgM2ZSthOmNNP4EiZx6m0QcuYzumjXSaoE8Cvi0jN+Pl9KSJf9b5v+4U+lb/rP2/Tha1P8
fYsW/MyfWzQBC8hT6KuYJMd8P+X8PACxRQsbQ9fqrTJUPF5/7dGccqA+IZCVSVkwzJWA/nOP1jgA
AVOUTV1H9bL2nf+FN/V7F/iXLjH7kyKIJcUrRqDi6xGMKaoQ8tuChLQ1WycdYh4xC8uLZ9aavTUH
65nHaPTrSo82Yl4STbrIW6snvsuMleQpVoj5uoyCsq/3WtxWNCYRrsubStJ786oCKj1eMeE5V/SR
7sjlUdA3EEfvJ+3SYp6Mko9qpnPWKuYQqX3AsSrELYX7o1hPYoq2RH73vaisV13xXgukPME69Z27
giMrQQA6ZYtCxI/aG23c+kpBfvtFno9LeRsumCzhoeNk33TQdra2GsoeWanIUYbO8JpyTLZSOteb
kT1rO6SG2IxTDSUjNZr7ZYh6mpD2bCwbte1Rqs6KjS8+69kkce8GEhE4WiWRiVYtxqmfwSF4lVIa
t7FhNAk5kGQxGMVMs6OK0u6WuWpjbwytyi4nWu7Ktjb5/zlsy8dl1OzEqeoQ0w6q49LcE4Coypv/
XtHvr+g6evnnVxQT5v9zeE2fmy/x72Y660//+bJqfwh1jSglpheT9Dq4+fmyruMeGYCoBqv0fwbN
nwW1zr9gkUAaZq6v8cuXVf2DgEP02bSXVdog/MJ/8bLiAHzdreBbV1lJdEA0NC3k9d9fdCvsSZc4
4VJzSKmlePoa4GFRA+2NgVCP4Xu+R1dzbnMMYMSmCxsBsW0w1m3yYU5S8CffU0KKhsCQoq7CSQb7
IA/X0/dMkR7rKaD5kDeAuBG68AnU/PpHFIn6nSL5/9k7jyW5rTbbvkpHz8E48MCgBzcT6V15wwmi
iiwCB967p78LxZ8SSbGpUI81kUIRqkJmJfLgM3uvjXuZjBJ4rxWBJc17eonTNBSTZoNhLVMAGC+m
YIruUtKm7g3YC9oyIZLzNoTwhBMzIne9KBLWFU1Sb+FI4ivjnHjI1I7QshFMykMBjGJY6GYxgdTO
MFguyV7NljG5XVd63BXPelpGz4pZmFtOTwYIapf4F1uogbNI4OlDNMdAzhplSgMiAgiPdnON6b1I
l6ketSeh2OnZtrLuJuVLuCKfkKkxR0K3bQkBpakoHRiT6TBBonHzadHh9EYV7Eg04hGqghtFdZgk
Tk0qtwnZo59STWEeGRhjnS1HUZpYIFroo8yoQZTF+c7p9GYDVhsUjieZDD83kgc3gySExgYjfoZK
ZMHMI6bp68Bp7IGru1vQcvxvY1EFG1s003VddRyWblZfuxzVLCx45iwSkN53VP1nV8eUTz81n7qZ
EnRiFdQz3yV4P5nD91OawIToOU5q7W5woWRQShDOSLS7kMlW6CRZLRgC+NGuVKto2Ke2NPo3q3eC
Nxdf0Ib6xl8nsGlLRmLocmulhmWmVLbHvKl+CmGyV5dSoSWAPvJvcfHVPq7+9uQ6yCyof1FdfH9g
uR9o/E2qCNWiv55nqN8OrHkAwA76P+eO9t0AwPqA8mQ+lBwL0ez75vpbcTFPV6k3bA2Shg024x9N
V9/9SD8WF7jPSYli3mBZLLt/WkGrvg7/sLDNczgpenUPJC5JCUcbU9ULQwXQmhPVmjzVTqw/FV9R
bEDZhKJDDJwxbdU7sq15x7eN7yi3NK+QqtjvgDezphSoa3/f60kfEpKQT/F1TihzQTizpYYfhx5H
MRPm82hlpWdkJDkDcyVVtwxfcRpYC23Oe4YPEi5GMHIDUdCkosBA0mLCo4iJDlX/iYEgwdG5iMjE
TN4DpeOEBWM6p0x3JgiZ3Av5rdYyb8cmOxnKaHGyRVuJ73WN6qlfiSaTCz/rilfsVR+DLqJDslIf
RlW2rgfCPlhqb8tI2UoJU2ioslehVxFDUV/Hh5Tey0D5pJ2KbDzlRuwNczPsJhAi/cS/U0vnOsXj
4o7dJpqu1ca677v6EYftyiC91P1qOfp3zWHw9fhNCSHrmAF5+9fv4vxz34oHjXgkA5ukjhTd0GY0
+Z/fRR3Zh0voI2ZNeA3fkVoNDb4czidBYQHFgUfsH5U+mUrEH+H6Ynb2Tqix/1Hx8NdS39AcUBHz
tgNdyLw5+aF4YGaGYKCy8quhEvY664yZ4U0SxGT0wBQZVpA+S2wquc/IJk1xEEmqEkMq7XiXOCJ/
knT/J5iZw6LW9fI2ai1jC7GhPvexX3wGoI6RPoFpFiZkBi4CdZTLwlUYIaSqMlzVIFguZYTbDiA5
pAMMqw6uRBWmaOZn5xhK6WcHOPI4JNDHVVXZa0QpbybHSu8bZzSfk86ubnvgn6emDu0dPioeRXar
kDRsjvkDpr6G3qLW3nBXJ0+IV7ItAdTEDBd+/dIRfbdirAP1q3L7jR0R+9aGXXENAZmKnoBKjPGF
1/Wq0V1CJTO6T3nNEvygInkY8QLnMRnZU9Mqb4SURuE5NJK2ZNRVZ9XFDosMrqw6hLdh5OJCwv1W
LqaGRgf+qavkFvt3IxwMQjh7x84gbuO69oDeJvJgKRktu2wBkrMUKokl7t017vjh2eoT/YU6ziTi
d7CydRBa5n5srfG26fPpRTfN2d2nSYGvCvKPDFR34xdd8EqqnyQUdJpe/Dqc3iw5PFVKuc4CuVfs
vPZSFTQ9K6piS9ZUgPpRbSG4s1444LYcj3E+FJ6Jm3XA2p2TCSP7QGILbHTKwQ6aIBEmj4Ytkx3h
Ivd6XIbbArgRUzOGbSbU7a0V1datExbprlFAGxaitM6DS/hvCmVGICAx8zufZdNb3SXuqwIfda8n
1B/FkJIIoipe1RAF0ylKPTDWKMuGjB9ZfLGVHKJd4Wec7k69M8kk+hjA6fIml4CrwY9xBzIPOSGY
jZ6hNORL4N3jsY7Z1U/toBy4eYOlbpMFCNnIfyLLub/PoipZERIrbxU5FFdhB/8LxLXNONEw8PTV
taGuOkq0ZlUPZu0F4I2prBkWknOnvbnYio1E39tDr5OuWjnweXNLfSvygqRQYtYXblHPwy5sT/+2
c+/t3Fwm/OYsDl/q5hdrkfmnvjuJdZUlHeMxoGDvpM8/qiL9g8A+7XJAC6qg2TL7nzbOUFl+4F+j
/nE4i6F1fX8Ss2zGaf8u2Zvd1//kJDbf3X4/1EUsV/gtTEVNFIQo/n48ibX54gXZMVcisclfNlqs
o0b/0NlWAGZeuRShqFC3yFOcaAztR6LbELDR6gGp7AYHM7s8gRi9M+IsWYIzRLekQ+OqA4jTjr51
knZtNf4qRUTV9/w7xVjbA6dh8fhcm80S2iE+S3Aq9VC+kPh0Gpv2zY7CVe/qq0aBEDKqxakcjE88
tTbB6EqczTkQbpm226iotpXrHuooWMEGXU9kK1PdgQY0u6Ol5fd23517De/9WBlyE07aS1KJtSbE
Uyg6c237LG8KODubChv5ktAWyAxWvTcHkC0Oar5GU7auHq3iMLqFJFosB13H3g0OP1ONYFE7xZqp
LdhCXtyBWA/wFU4PtyTjaaWk9sXVk8+aDIvNqHFAygCgsjL6dyjWviRFO3giQ2lCTPApNgjlkoEW
ryjOkmVIpbokp2tk4u+sQGLvQ7PJvKBP7hvkinvWu14L2Cus4INljrunawWzZjYnN9PuyrDdoIy7
lsAsVu3EmT6m/UZMzheefj0qy+x6CAG+GI77HEXqDTpFhecHbug20dPlaOl3UyqfYypV0rFIbXZi
8I2StGjVJRNCfIEtam1h9BieJttxFUL5h8aoX7dN+BhGvP5gxJ00BbPOpTC2rQVPrsh0Y4Wk8y2P
4Pyz8OjZEjGnA3LWqNZSSK4jhhp7jAu5LAufWDTfEJcwLHOHZ9pExAh5H2w3MriZDQgAr4/4uURv
gIWlsbFhsX3Jc2cmvPO51y0aq6GEL1M8q608NpE8VtKVO4BlztK0sPIbGuZztyYpOEU4CNG5ABee
n1HHHVmh2zvIKkCIankWUf5cRqVkQo6CrpWVNxjZ0up5ofh3MeIl3bZUxZWmkZpmEtAcq/6hCtpd
nRX3rdJt8jo7hXm+Zg0PiJLF+DKoO3dlWP0MqgM24ojuib09DyENVd6w6WWBLDNj/ZRZM62DdzXa
V3nZN8vY7W6dOFk3Yl8iB+9OviLXo3BRXmQX1cyutA4Ui0mGV2uR4EIxriWNvmjJ+W7zcPK0Ca6J
FbGVV1LpLy0l9BeoDPiT80vx6RZLqDUpHu0W65zovoTxQKWf6pBfivmrGtevQ4QkKne+2NHQwgkp
o6Xfuu6GtNZdqAIcmnwjrRYaYsuFk7mwhxD5rsxBJ+feDvu1qzg6EW7wMocQOC/PynXaGZ9bs4GJ
wGIu17sn5j6fKFkinOfAEQK9vxrbqFiS/4qgr7EaHDVaBySrzbTqQPHSHDh7Sni+hc1StSQsLkub
nZmlkbXWW/A7952IHWcTogHetMhL+S6VGew7e6imldMGg7pyMvSvlBUodLaGo45QlHRzkmclI2Dk
1hWp2tz2bqXoh3ZocQUSChM+VZOhdZe4KbZ50KjLIhpRBhuxsZbSDFCVTi/EodzUPgmGTTzsDSNr
15VSDRtHsQ4mLaDHbtwASWN9IuyGsXdjlYs0Mp5ixQJ3M+ehqBQXez3nZiYyHO0LJTp7nvxj4Rsv
YVRpXuPA0wKP8wV0KKidMBcLvAzaQpBWAAkK4NgYD6cRxR1x5yhXCuVER3at+O0hdfKPney/0BQv
+wEZZ60yiQsKk0RBfdiHI6UNeeeuXbzIOL+xpA+GS2MAr9Oxsy0FwqRFZ792j0o0Pieh9mVSSU+s
A/NL3KUPDHQ8Zdpr4xB5hlmt/KC6iYcZiwundBi8ITkkoX0ScQJVacjnxTipkHoFS5o2tpQTRb+W
ni07ht1lusFKKMq1xhPT621zYojVnnBBH1yT7SJ/hWJrZyVS1pxFls7acglmyQMGQJQksBYkw8od
cfWTGTxqVU1xDIjII1ATynLs9lycxsOFKE3SDvGmw4x27hFD9/DpL+lQ9Igc+2PhNGBeHGLHA9W+
yD47sf1PcWmDMaS5rtN6G7TNi+X24wrm4e2YKOWKCWCy8l0eIGbU3vttW3ttnz0yJ9hHCpJbu52e
2tIFFUcnwz0wgUwWmrKs8uatdt17Dui1KJIjKX2zAl7fYpO6B9q8UaQ9LMFc7cpev+qc4sY181fJ
gw4ptTgbojnAiPGXXWb4G39SKwi91S5QOh4JTR+QX8Cwn1C3nWuO+N0DQhCJxNvUJqMAadSgydor
KpF1pjUP0Dm3lNshxnSNG7A1hlUs0m4lVKf03NjHH8M0Y2mTwe5ZMYQkRVE3lobCgu7DXdbg7pD9
RwvHbvZIsiuww+7erod7UHJiBVWM6IfWWityCjZKrx6SzLWWFLgBM112q4GqXVkqK3qlBubRZCLd
TRoccqgKrD310l9GNkHShrwiteNBESj7lcwhUFX6HHDEz06pxlfCdK60CuiCo+oprI/hU5YHj5gz
L3VmfwK18mmwxJoy+SmPg6c8KCwk6HLnp8WTyJ2tbtD3OdoBaAfxtQRqiCQ8aFX/EqTJprWpwYFc
Bq28phWAnt4IokfnQ1wx15z14fLfsvu97J4nhP972Y0fpnmr3sa/jkDmn/uj8BYftJkSpbvuuyXm
+3Gk+mEePrACsCyTbFXmHN/2J9YHl2rdtoFf6rNQ6YdhJDRMjJUaqxMu9A+WJ7ZJ/f6jGgl0FTU8
CiedNGjWMT9W3WmBqnFUHeuc6lO3ZttoeEAmnm1mZbndPmrMzuLp2p8f3qW60pistU1w78+jtnEe
uhVM30qmcEgdmMjpfXyfziM6dR7WwWx8tZqmWYw9HFfmeSJAG4qJYG2qlc8jhaGfJtSPyjwGVOeB
IMlj/QpBu7+emBb2srK2HNT7rA/lItLDx9SEcj66z5PSAN9zqmUvyxeWONduqL9Ulvo0dBRRVjOc
Gr78yzGM2T6W0aFlU7kwsSU/jsL5KJtCHrIC5Ivak2oiiuie7NKPoMimnZHiJ6uVfG0503YqtY9d
nZ5d0pchoty61YZMr1XpkjRCNNd9G8pnRyrbXuSPdaUEe1srPLc2lmnWoQLFHYfzdhjledbYlCPA
J1+Gn3NUFPiEGJRY/dmd5SS51HZGvo6YdIZjDvXuNihPlb0umvi51CiseYmbudRdINTxEiOBI2Ty
JY4jzbn3DX+Rm3W97Sx3RsGAlvKVIx7sfps3xCj7sl31eXTDUXK0RD5R+4U4WJKETLvkc6VAUW60
GplMJTaVNZE72rVXo+NuRcTmSvig3sJMf2ukNPZJxvUSnsgmXZVrV69iGqVXC+sIn87L6+hlsHwK
y9Y+ksILzMY9p4XhWZE5A7cigJ3hBNjR45EJ78YYLC8RZrfIZqFKMM2Zbn2nklZtoHe1QTlL2aQs
okDwj9I1id6brtzGfjELhUcH86m21pa+oK3QtPG6t2Hv2SrysFL/NM7oHKOMbjIVd1TIJ6cU+r0J
17QklHklaEWPpaIyxMtPRUQCczo8hHX9WpQoONWejJ3JsjBGsLmnZcOCEkfNrhvJaCHm4JHKu1hM
dNRLGabXYFr1ZdwNW+qyfF1hLVugUOpJ493pGhAj9F9f+DwOeVFcjCpEriY2QMPEMsU5U3SORlKS
fhtBKwXNemjUnignjRFkk+39ujmCktppaUsMGqBSmFOvEYJdNww2DFwpoJ36rq/lbdEq9zK3diIj
b6ky3oBc72IRXJADfczq5N6KCU9Mpv5o6NVBb/NT28UNU6vhOkm7DaOk41xnZ1O/Ldx8p1ZYDEZj
WwbhPjAEBSiZCEXSH/paXAnmfOsWJqofNE+9jTulNiYMNBCXW2pksGX7ytVuTFkcYtltgZGwx0zS
dscs72KI6hQU9iUruk+1ZCbqBNptndePmB8O0L1PbQj7KRhvMoiN+K7DxzgJeWbJxyC2N2aQ0+JK
Zzea2cbq+pC7oznpmUuIja1fk+a0w094nSodKjlRLsO22nWueBIDKQaOSBLP1dobmKfHtqJwmmw7
XGRT+sQib2u3uDKIfEI4gQ3PyU56Yn2cHHfTK/2qcTHkyO45q4hXMsWXqQYMQODNakJNJbE7YuKb
qM9vSHkfl2iDE40EPJOzj0Z9rxhIlSsrObhBe0SqtmOtAt2BJjYMw4vRJQc/IPIkyoNTT8uykm72
2snGWShVAorO3ZS5e66yGF8WDMa0FCrQUPVBqu1xUI1HPVbOGKdvp/kjRP36WgCrZlS70rX+oAbK
4yC6i66qZxEPXmjNedVj/6IpGN5kEUi+J3itGj6LSjXXWQvGrnSI69P10+hidGQ5u43zaBNnRe/V
lvpAdum+rLtFGEI+rJXrDi3nUjPuQFgQAjS9Rol9O5lNcMzMstiJAM5Emp2UTPgLv4QOPJkf1cLa
oJpnH4wqMGosg/SnQdvGmBc1LXiL8QItbMqxw8iwEt2utlZVwHY05xubffKCm6JA0YqLywrEtk7b
p7qXtyWmzrEN7vyq3mYKJkaW+A/gJje857tgTB4bMsV2g3EVz7RU0RF/YdHDQ6U1jfzSN8GdFFPt
OVa3VZJp00zOrqotYOjqtgpc/jTqRQFbv4CFe9212i1bLxBwKuMJpyLtoVP760K3TjUMDGuV1IrG
FLUv5YOZyobD37IPWuZLzEXJDF8jobGc6BKdjm8nblQJxZ5habUYx2KLNWhjB5kL6tF0FmlDCtWk
IHTUOkC/xC4MC4IpXjuqecPKIsr1yVyEJMeitkloWgK0hs3WDxWsG3PXnXdutwfYBBdeGb9kFZNi
vsWLeMzipR5VKiuNwVmZxIp0eaDhzbQqzw4R9YGusxX6QIs8zTQ49mpDthyxYU+RalMDm1OlrFun
N69rEtoQxU/ABvvEIDa8SxkSFz2QqUlVjr1e7YlgvSILa20M0crWpoe09G8COLRtSdSdrWdLLXEg
qanlk9+b0XKOyKpUYKpdPNAqI1/Um+a1IzlHjZ1nw9dPXT/ykAGRC8wOUvZC6vUdfNDRc+zwhZP1
gaXh1u/DizCHNz/SD7CfzYUbyhU3ErHzCivWyTzYMj35MtHxQqVAdOO1UqSYMXlEVyPZ4lblXyIs
rQl9J7lvcoHucEco/dEc5FatpjkqbQcZeWHmIkZKFQcky+jXbp/eNgzTupwYsTTL7rKkz5jwxAfs
hQhGlBMb7CWl0Ibst13jw0mOsa3Y5SEomkfL0Gk81H1FYh67s3XsFJ+wQK6iOLgefCqF0SxWk49a
A82yWTZvKdMiJcNNwU03DO2hdZNP7J+ZDeLeyIW8qZhJWhppQgZOZj21tuEgbutYmXsYRVmO5LON
dkCD2q8J7/JcH3BY69brJlK3aas9dQ5C8kgd1qZCuDqaSkoLdA9ZUnK6x09E7y4DlVFDX2krN27Z
mgXJTiFU0HX9je5MV6JDIhE36t3Yq2s9Kh5zrEl4JIkXUDr52a/ybkm8Q7tqQiKYTHH2A/0j6bsQ
kklkM+jrIsZmrhTuOgj8Axj/t2I0z00BcZzzvWHQys0S5L1Jp4yXmVQVdeWPlnPJ1ZxsUZyjiUPo
QCOuiT88Jg2CFiXQ13VN+qFvhujB2b9sw9F6NvtoJMeIERIJtsdhcFpP6fPHAVleoVjPmoYppJDE
7nSUL8Jq1zFbm2VW864Jftq689FTsvaAvxlug4qQXbOIT4WPnTBQmIgxK8JiVXqaBcCtrFI8gTDi
ypFpqsF/gbfx1A54JNuXTTIR2mBrzJ+b9jhV81PbNJ6GmeoZCajR1eBibRqNsxrLM6rmJUjfcGeH
U30s/MpiCqXDZEuCfV/5126dPAvJKHT+ult6Fy7cjKc5ZGT92QnRexfGNY5xeXT1jNa02AWFuNMC
KprcJDOwZ/Ypck+k8bEMBI2mUaE7T78wAgaXqmvYFp27uMn3Ei9njPG7S/phVWvN06iWN+7ATCQr
7HOkBucUsXxiG+MhG6KHMnGfjUG/cTiHD6bO/rENLPCLjfE8pe7OhYaH7UjitiUO6KCU6jpXJYp7
dpJbJogapuGCp2NgpEK/HdRIo42oKnz5TjIaGqZr3VJWmip9Uqi+6/iuvi4ofpN2b9DUWaQQoGJV
2WGjF/2xgWLTKAZNy+Qlwn+VZad6Ghaucfv7i8wsoD93IzPUbb6IpbJJZx1BK/njRWJ/qHSlriUD
WBJJ0GsxfDDumv7u95ehE/3rZewZujXni7N6//EyPkt5ugBB4a596fN7Rf/HhL050EAVmiFoNs2f
/1Y1slHCBdPkkvXcaFvHZ6X1R/f9i8/iF6/fxr/DX4g/lMlS/8fXTyg4VnyzTC8OfYd5Zbp/QwX6
Kz+Hj+G7v89Pn7VhxSqgBv4+RrpRyAnDe0D0Ab6FtyTyfv9WfnEp2JEW6ziDyB2S8X58KyS9iQm5
bnyB+cnAvBEL4L+BseQxDD7y99eaX/ZPd9cPHwvThu8FlEKVKVu2JLkUiGhqKrolXy3O1LFb//5C
v3pT33/+P72pzCbWtHW+Xgj+QYY3MlzzHJkfxcXf3Gvzi/75TbkqGcEOT0dd+5kKqJuZlvPgzS61
TurtSzesTP/T79/Or2637y7x8+02kYOWB6bILpnzEvnPhvJ/uJ0Rv6Blc1G9mu+zm++ErVGZsIhg
R3aJOAF1G3vH/+HwgoWCHI7pj6YT9PjjJ58pGfU9OQ6XyX7p7XM7sz2avzm7fvWhcxOjzDfwvKnz
jOv7u8sNU1RaqAouFYXfuHRga5jXHdRloCj639zJv7iWI3gbmjr7Cpg//Xit0MfPTKh7RjgQNclK
EpAxrph/5tRYN+8f/r+qL5Xj4Y9D13tpXv7rLWtoWs8v6dv//Pcxr//r/2XBW/JW/3XqOf/ot6kn
0nAeJDjcdQDwX5k+3+QGqvMB9RaPclu39Dk/9M+pp/HB0XTNcoBc6A7SsO8sHtq7+8MSoIWYmQIR
+ieDzx9PB548eEUExg4Ipvg6CR/98UaJHLt2+syNzoT7TaYN+XtjlI/f/WF+8TRCocBv+fMM+noV
4s3ItwAF7OjmfPB+9wUu6SnYf5rRuckjmYAyERx5LtKFpa+zYI/0usKWrKlHOyBCtC3CaJlMFLaJ
Ft2IIrxOpLNhxSWPvRCtJ1TFXKpOmywYE8E5DcJdr6W7tgtPsnO3RaseeWZcs0Y+lVNOwqV+wbiy
F1GMJrmbEzRF6a7tmebig8tZSM39jDyrX1gxNI6IpSCoifaLxFRCOWWxN6/mberC5+cHuEWMMlTf
2vfKBImzH2yvmdXO0ax7HtoJ3VnMLmSJjP7Bn7XRdmLqH7VUgcmPfn8jRRxCxW9LpO5ER8SgttXR
Gx2U8ETpzBJr8keQO3U6UQRjPQ4be1ZiD5ZDRjkqK915mLSSgSFZIJtKmSxzo+b9MJVLjF2CJMvW
TInGXgjsABen1JQTv7/wZuRKDFPtkCvZxsnBwFitX9EC4uapULBv9cSI9y1mc+eK69X6R3MM7Pqg
jThNcbXrN7ldmcNVqEYIvVB9QBux7H0XtMGzoGB77OwQc1AykhHWZK2xc0AMVIxwicLeOmHnIyjo
a5cIWAJeLawxKwWKvKcVmEyTFkJKGQTjrtPMDip+a68a/uYEeU71Sx0G5F8wpBoHJoRuiWBAS9UV
hSj9Pxk8N1PX7iPBMefmqnuDAV8ljYdwWGdkfZcXKWCE2KD7BB1XykfGCN2Rj67zLLaZqwpQlVfj
f8LTMMi9NZFCYjdwiqCQq2i9fONcEyNBPERZb+gTtr2REWI5aPU1mQWsqJX0ROt36qoaOmwlr43c
3DksvDzfSra5zGIv0MVV7fa3jWp39wESnS/5LJOMYs/qB+tLLlvPTGsv9kv1TijtOkABqWh5TB4t
bZJDbMVAB0WUwee6bt4Asr6N0fiAJtir9G7vEifFAbKwjWljDOI0Op2nu/gJTY0mCcdG1b0KdJFl
qqyTXl3pFd18O37KGKQG+SdftKrXW4m+GeyAF2F2z6YlX5OJSZRVx/W+6dhKKv101FJtpwfaySpa
8Cvxc8HHVzc6UjjHhvpirQPN2bZieh78mqBwX2PXXrLJCLBP15nYRaYaeepI7q1tX/Eeb8wW2v3A
ctEDZ11jBSZiO6S2BAyhXTdJVp/6Eiy8NnAzz8yekj04S03uspQFM18iAWtfI8ticJyjU+hHFDuP
yoQgw7RvMWJf42I5QshYdqR8MRm5Dl25T7RipfnQa4IAz+8YQ+8Oe8D8VU5cbSXOsRJ/zGP1YwGL
B+HvgU55D43reupVL9EyLyd8xDSiZZmU44GxKepGgk+dcPxUkpmAucNzKxhj4TAbPPs9dpCRUIss
2zdO/jkdfXwUOC0JAwVKhAAj3pQuIhfauptpRIb5+5MXdfFfT178g9DeBBkQaI9/Ot/DUcU+aiXy
nJfkGiOopAzoxthL0y45Nqnee3aHfTcPU8I2pze1KOvrsozFnYN9fZEPw007c7sG34td+1EMzaYM
rS8MYAOvKEDpB5GPTWhkwzNxTye+XOY+dTMxVuw3EG54ttNsuzx/xQ3TLvG0PmgEXq46tSGGWcRg
oLJlXy7rYacWSJoaAPxqRJFidFeJlm/qFF98kt62drRv/fgw1cm+bLWjXeRHp9bcTdOPuVePcqsN
gLfqjqWHz9IqNKINFanNSqa+McYWGUho7UUIAqjB5nf0GxV5UTXckyNlLFwLta42MpNH3rAsLYuI
SxmfumI6h3W0i3tzY7LG8WRCOG0WE+DhACtLCaEGeLEyg+KYBCkJJZl2kawGkjbd8lyrFrzKieda
vc6j6hJHyY1hu4xCsg5veabIpV4IMGzVFdO6Dr4l4qWqiu6Nka1PMMgXV9gHyaiQ4S0SoGpax3H5
OS7FRi0IGzHU5yhlnqYDlXONLQq+EzI8Iq/toygF5m1X+ewTLrIotBIzD7iUGMk2c6j5LGuO0rae
NJGsGRJ2C0eJn8dUU5dRPcbQbIKLPpkqfQkTKaOInK2WRu1DjtLugA2hOiV5n+5+f6v+2EO8lwiW
gR3ERoZOALv7U4kQMW2DXpPKMynonh7tK639m5qYkum7IoRfyfqYqQGQdmt2uMw23O+LEExqGXzF
IDgnVrRQrIts5VYWN1UfcSckS2mVazda/f5d0UP8zVXn9/1d6dMWCJEMXVFOUP5uTWLpGWpntzwV
nwKD2iPEU4JOxiQzTidhmSF0NzDxTzL4ZEKjbs+q6SlX7KNsDLGs03CduL366oQsD1MR3VtO2nuw
+g92YjwDMxvIedatlrspyxEa2tnKQX7tqcyAl3Y2jrt2sPXXPIuatTERvSel/JRwr65KYYUeJ/CI
dskSy651bwk3mzach/dt0Gm7NNCvwrH5DNpry0Pprq6qtVX3NYqVaKuLUFlFggqF0W62GadWLEsk
mF7Vm+HCBqqBvxy6mASToQeQEdzxwE3/pawRRcFk3FWGsh17426YokdDxHuzYbVcxRRr0tch7TQS
3VFr7uIpOkAL8rLR1zw9EUQ6+DGnrHjsBKttGaVEHg6brEIT6k/cwYLsoYC4Jag5eZQ6i2KKHK9K
/BMLzmVg2ls1Z/vjBMMthmEKuEK5a5uYCDWd/JbJbliXSrJx2/zFmnfRIr0u8TEDymkQZu2Zeirw
KNiZZQwgC1W9z8ZwO/gIqfAGngvmGl5UmLuKRaRTCtCPc4ibaWyCwjjarOL+5nb7u3t8LsS/u9tA
qNmdNnG3RcfsKjgr6/JQPuCT2EGcOLJFC5efNMbze/WUfez/hqr8Hij0Z5X/7QuGZQq3GXNAd35x
310cI7OTxY6hnDAILLKjtizWjIHVg/Jor8VK3F+U5fGxW0XsMV74R3Iej2Kxl2v/jHfg7yDKPz74
vr4YnVRSpl8WbZT50whsRCOHLW72YoirAmi1FI9Vt/39n/vHM+uv1/ipo5+qtFXCMAl5uL4FAGrG
69///l++BxQuePEM1Hv6T59mOlhABWXJw1u5KsFaVCY159cT6t/2fVbw/O/t+y0E35Qx1NeWfvf5
f/77P5G9/NS3zl3TPqADonfn9pk5SdzP3zp3Tf9gMitCd0tH/y75/0Ov5HxwTA2dtkHaGy6b+WV8
kyw5H4RNii2zAIgu0Cv/kX8SfeuPjxZTCB6TeBWgPTg6D86fHmhsocndRJxy0XREMGvTIc1U5/D/
VEXtqjNoY0Xqx1vFbxARqu6D37Dl8NGne6ZpvzZpcmunvYvPUfPahsGqX8hX4jJ3dVceYyUiS9OE
VCDLjlamawDYqx97ewg2tdbXh7Qsd2WHYWaSF71RdmzdTjUNslrVLuBFRCcdFMwF44VtJqPVhKXJ
1huv6S0IZMp0FdN+zgGJN5rePKMHVZZmnF2DZFAZiCl3SigrOLkcE6WU64BQyiR6SuT4sQ9Eu4jM
6KauWMtVZb1UU/OQCtbpCEc2Y55rJ1EYl1BOZN+pxmEyi3OXtQen9j8X7v9n7zy6IzfSKPuL0Afe
bBNISyaTnqza4JAsEt4FEHC/fm6UWmpJ3ZoZ7bVVKVlFEoj4zHv3UcCY7ncTMfydPUMzSur4PNns
bxNT+zYJZ9sDxHgT8PA2U+FHMI6eM1P/keB/2Eyt1YWMh58YAqCNHvlGSu7Cwj8vZQIAg+8h1otz
trZvfU5W5BiD7ZkWlDup2Tn7GoZRPCNiEn71hFHp0svpe+UO9OWeeT373X6wKYiDqlLkXWPn98m+
i51LYbLgUl20nAwSUFYict1gJyfnPI3pXh98mEx+fldXuo2qdKYuXq+n3ic+KW5fs9Sx6H86cLpB
8dz1aBuKYnh1VhQsbic2Q199Nb44I9xLroEB30DVSqOaVSN6fWC8g3noY46evksezVJAs0iVwmQI
TpMLVgaX/I868R6SeNnTxM/bqgFh2pgko1ra52y3VyveNDcfXvhvh7pBsGCPvo81hFzeNB9ucVqU
17Swj+51YwD0CVg8u7xPUWrFKSLc/qsyukPuCUQuSFkHKRI2XsXZkN22bSSy5WIciT3rH4wR6KFT
fLMXY4+6JNm0voMNBWnS0JCiVtcViOl02XWA9eyBJIsVj/2SekTtApkMi1Wc2wBBWV6p1KbF2ptJ
c1VAHSoDOuUiEHd2MZ3ylMSpVEAcDPjZ2/HVgL4DazyShQ+ZNOIlJVgE2U5AqQGDyrs3W9IhaFlF
pd3pbdDdk2qHMhWs1G6w9F2h4TSWZvwFa/YzdgKdYEj2p3rnnbx6fu5d8T4UdCdtQ2Z8wmY8Le6M
tjz6jDFC9IwwgUAPWN5Ic6KLnU+oF3GGNt9cu+08BAvWnCN/m+0tcLNpE5QetDSkfCFVTTQ0885y
F7RqZtTN83c/RsQRLE/8omlpc+24ZNp13aX7tNCOQLoYkBlhkqMdArBM88Fwoma/67ebxV5PFst6
oxOQoqChmKSvjXRImFTw3WVdgdae4c3s7SecDVVb8Qt5HpQ2cpZKNhGOyKIyLU5Q1HsEpPZRmgWv
VU50XC/S61GhG7FjBLu5ciVE6PqAY/AGp8lHP9m8BATBzl67LewgstrlTOzdcRKqrDB13AjTxO+W
RGhNHmQvPpA8XZipRH1uP+pZgph+Eddr4bkb26m3dsFbqOM76mYj2BmF/uDI+LODCAapHNMi7IWw
J3TWSBB6ax2oCSBUACbHq5ReLc9QqfjUuaktz5NXX81oETZVUYZ24pMlKTeDy5gEQJxY9H3gydvM
HV90sz3GNoF1o+5t6RQ5/+ZaI3CyubcIKQ2zVSAYYwSW5IeSA7DNxpvYXR8xKGw6c7iLTXkS3bhx
O9bwc7BE62ruXFdsLaR9mBjGCAT5yils7QJnuML+ufNZGcOjxGbU6u+kNpGEbMrvVga1Dh+tBbUr
uTVqeFFJcmes/nXgLyNRwFhbXOYaOmMatPdIL9sk31ZaFjAbcrDIp/OtVWrgvpdbM/C/LHPFwsL4
EYNIL3wglhnAjkkbLsvQ3g6e/zRnBE9XjiPDuXKC7Zyb5WthxQux5ONX3ssr1BnPpayP+dBcpwFq
Kymye7maOJ3El5MQnyuN9oaBy67L16fCMBULq3jmBN72tXMntJiAdT34prniZe7mq6lKccPJyqP/
9sPBQC6OUCWdMRZPyZUNUzSM7eUYdyA58VAhKDi4YDafx1Kbioh8eRBZ6zCFPsKBUs+O+MjA80zV
Gs1N+sMeLRktYzMTaGy8Bet6MaBUbykXYIOSeoi5BfKZ1X15w1iAESHqJPM4Lpe5jtIme2ly87ap
zHvcexOqCZvNYP/hYK8YSDFGa3Lp3RmZPeeXIAN6Uzv107xoz+3cPJaZiZOvtqK2zPDtLtMFaNEa
2qv/sNatFZUyl3cC2xXyJnLbbSVDc2MEnxDkEUD8v9oBtcT8TzvgsFVg90y2AGEHbKBNT1W3v2sH
IK0Y9gId5GI8VJtXZzfediEJy2Hw9njfn1FGbJtwOGTXzp6I+AMzm5OTHPJzuv9Z1/1T4Kp69K8L
XIUI/V/wMT70/1ffAgLw+d0FauWq0KG/6vH9f5FQARXZhtyhFkdUpb/Wt0CQDMX0VBQilXRs/J3N
FBXGfz1AMA8CxLsgTNT6908PkM/yy3U1fb1YVfrc4QEPS2YnKjWWgcZa7fzO3RtTc3QWZNxz8EzS
Av5qidKsCtzH3LfPVjMcuUO23ejHfeR5VR1sM8a9T2UTwGg29btEq8VxwFMECoCE9HeTBHacaj/f
B9I+eTecn6+JemF69epU6iXS1etEaPTDpF4wf1wugQPAmYjKqE2xH3a8jQtvZcPbaUEc2OjqhdXF
dHR5g9PMP8HgixbebMHql8J32iS5ft/y7gc+1PSx5zAAPEgyohpDioKKuv5a1NEBrWcXq8PEVMeK
Y86XgXOmK/MZ4pM6ejiDSGpfOS+YqQecUYnOYdU2KRkMILUBWGqcbtPcaCFhrleG9C4W55/kHFyl
F8J787iMOSINc7wSY/uSqrPT9hqWO9ZdwalK0uVzkQEMFpy3Ayq5UR3ARjxtq7b5wsjA7CO7D2RL
YWZV121SHY1qeS44y7Vm/NKFs0Ro1Qm0tbgO14wCTtNQc1llceh6rcUv54YaVWQUm4xMHOYKUFjb
JVxZl4XjQN502kzhEJCs2yCG2lQkj2yJ9F3DmmjOEG3SR7okp9oylj3sKX3Tz6xyfPMYuNYB2+Ul
LkUdWgy7IGSLDrmS68pqPzhEVW+csjpagwj73jkPM+5Sq8FEnNbjztbj9wKSLEo4bWPjFc7r+Q11
FjkhKFPoBdgOYOadUviVqaW96SLJQzEiOjUKpt198LmoZoE98Lj19V7uTJm61+VkHdq8Fg9pz67J
HNDHG2bCussL8mhFZZ0SQBL2LokIQC4geVYGRi40/yXP/41kM+pp9pFQ52c2xgddms/TiO2RDHA9
GnrTYLhi5tdtjeE3wRW/TR1gkXRWuJzn3A4twjL2C/qRm3a2zLvMbLxDhlcssInfnZJTVZAZMHfm
G3MWRIBEq1zocSec2fZu8audHHp8AktWhs5Uvy89WrUxw6alAYIaoPen/D5zeJwXmmIUeNUvp/tf
pnz+aUSiemBOG1iHoNUUFPFPSprWmsei1ALjUlZPhf3DwYP8/5pM/4+/gmh1SEm6ghTTDf/xHlsg
ofW4XO0LPltZ3C7tY/1vPdU/d5TF9OOv7ygF3zs1b538XzeV+uhvNxWwG5Wj5zI3YYSplgO/TWKM
f6lwVzbb7NJ/gVz/7qbCuwb/WufX5vw0lf3npmKc8u8v9neJDb+oaf5Q6bBbQ2mHc822dNez/zRr
9Hy9mmd7EZdFG10CjUzSe7BT1H5+dEG4XTLbPWepl964jsDz6Tp33cIWaU30eyu27wuBBV9vO+y3
KdYQ+gjP2HGWXxccPNqImLw2rv2aBsj0WGba8/vCspMwQyLlZXXDMGoXJ951n2q7ZtHuGGM/eUv9
AjIh9OPu07d9/Aw+qqkaLg5AKg0wgZtaR9gKz/gfQrKBGLyUNxILEx6Rm9kbB3Zi8zXWr70jyNvO
kicHtT3uzXxbiuk9yIZzHBS7QVjfraTcj8NwqmOXjja4Gu3uJk7Tm4DmMgC5naTtjUS0azWMz2fz
hYHbIcWCESzLRiuaS27kzDeNLRuHqOvXKNVH5kH9bZrKczIt4dj44OnlFhPKjWB5WwRfPa6abYVA
GluLPEHYf4sn7AOu/ZLnIyQDTPZOT0zIutfynIR0cPqteEBL0W/iObuoqX/hcWrl7pPTV4d16e8r
f3ivzflG8+ubNO6uR7c6OKs8VWI5EAwAwAfCTN4SG4TTBQKwldj3nhoe+Fp7GDxaPLsk9UDScRsL
Q/e4eLMa+z5o3TDNIJaWXLNSG64Ts4rWZDwKFo34Ce7zgM2nHj/b1fKUwNdwAVNvOnT5rHJIzI31
DmZxd6Yrm/D+dJiUFhlHTea+eSNerrbDtt7SOyVz+2Kabbqppvkd/Ax7RiEw/mz7JZjWbdz7Ij/k
QZ0eWayI/GKvK6yzHMuEtR9Fne0CQMzgQ7BDIOzcNx3qGoB/90UztKfaBW/edwj+DcijZ8TfIxgD
gzXVjKokqPFJxNaa35uGuS9MqDZYXg55DY/EB2C15VviZoZcHho1WLe8JVJq8PWcbCMSx/HVObSH
y0NmL12EX36mPSIIaJV4swlkMjdT0j8BDmKT40p0NiW3lI+iZc2/JidGR6SZj5oZfyAsQfJhX1aw
I7Yobhj0TFExjaFdxp9MA88+Yyht4nNnIQeu4MWWYdeC57bcZJtVzZ3ZkPMkWfS2Yz8ghMfMs6b4
OvPWfk9wKm50cr42bd/JqLeDm0w5p7w5/xFo7DlGW1bhODJdLUz/M2mD7/ViPnF1ffLvR7nT6H24
LMglmE8km7RiIeXUTBXbAiPM2OLkLgWepewyptWJrd6zPS9f0tNPeeCfSCMiaUnDVZSkz9mKr6Aq
u5sFeCegBnRMptTcc1PGqIlR4SRB0W/NdLQiaVOvTEb9OuUrP+Wu+qE1PtONeVKulqTe5cV8jLVy
n+s4x4J1/LY2TChxBFwy3Xun9HifbTSKYq54bj33YLmjwyfLQ+ILbWN2mLvaEk+nZe7jxnwd8O5s
OKbCrneOWQK6RrrZ65JYfHHN/sjijvEeBneA2O+aFBHCG3btsY51Nn4h3QOURNDzBVgf2hSlltTM
0B6AAKyifUwnDOJ6vixEMfF7n+P4lQ2gZG4dezxf1q5THo4gmHhFs2IhHpnXUhA9wj/P+qp0E2pU
nLC9ZwqZFRmVWtUdsWm5/NvGU+v3l7nKMB2tEoWJdZxS/SYdRogJ+glCE7ZDDRFYpoFkIILkukj1
hykZrpw6fTQWD5g2DI5a5GzT7cmK3Fm7zqRvbOqleBKpjSenar2o9FpSp9K0qHdigiEWag2hA+TB
EfOZj+nRHrJdWqJJqHVfAxDDcn6pGSsRkNvsZmmemLHftRUYFM+YyzuyobNfdoj/1CJK1PvXtcj5
U3x8/vjvhZD61O/KEB0cNwJkOFC+6/FHvytDuGddO3ACz3B/Vii/liHoPwm/AOREbuNPZN9/Gmb3
XxQLsIGV7JiIxeBv0bpN878mLj7kKHTl+G1p3e0/7zwtzcSV1hXFxdB5aU7BkLU6KV+Vrb2gxvPo
z1xRLaGEnHNneEUkUU2yxDzMx6Me5/u6bjYp+/h88J/TZQYQlI2PWOXFlT6XDfifJJ8hzNcEZiPz
DKs+vtDQ4HzMq+HQmgBKMtiaTbFcZo2UPiwQb7FnkpMuiqtWX29rd0YLEItnRqL71sGBLf35edWn
H27r3bcWg++MZJ5DMjMswkhzsPvgDkzw19jgpKryStm+dRcr3VA8xUl1SzAQkQ36guJrNi5+E99N
FTM7d+n0QwKTeDMLHzc4XJuqmA6xa36zW3RZU7OwH8vpyBuSjbd0MvmhJaFuGyCExC4Yu9uqS19l
AVquxq60TwqI+GsLG99SlHz5E5g/KXY+PVuiM0FVSH1T0fVnxdlPU12NomHv94rCrysevzdA5ncV
o79RtH7Qns4l8ynwEgOW/wLUH6KWeZsqzn+tiP9uh/hAoJjapT8DAUaVDWASEhAHpAVw3IE6TQXH
g8oSoFElViBXCQMxFt4rvxU2s7ZgYYfUY8vMTranucaRiwEkoqksmotXGO9GZ9mRlNrGA754Tkey
4GI/jwba3rTmgreTdac7FX7iQEzhvDTQl0XxWTbyhev1utH1JKq8aV8OBfNgxzmLQIOwZ/IgVXB0
2vIerNWpNcU3Uyuu84lyoTOrRwt4I+Y2/8Nuu1viQ29gKrNtSgevuHXyBTexZY1WjnclzdczBhqu
XqK1ihZQAhSZ+Fgs6VFWYKXnmLQ79hf+tlqTj3WegKnqDMXbAItZo1IvHIqe0BbOh6NzuOP4KcLZ
HPrISuetNIbIU5WXiu4E0OpEDCPwuVNfb2K68cGdKkhQTnPQEhDVmMy2c8b/mfN1UyPYekvLBFx3
gDY6Adm7qz3ulzQjtHnWbzwH1H0hHHBaLTpKXR+u8JYCHXJKc5thimU9a353ZwND7NI8sFrNWERM
QRjXvbfpgDYGGbpO8LnBpve8zypOfmCzVabWMhxy0qdzLb+VDsOjhZRPQ2d6I/ul2jYgmkHkQ4r0
efTZgSZRrYshiWLqMqp4IGATShmvKU51PzSP/8xbaSOZZzPp/Ov745FxK+aA/75A1Md+u0BMBYHl
J65mCWQrYNv47QKx/oWYgJsFrjwsk1/HrXAHmWygADHwpVgq7e4/t0cAM8XTAciTH4GKH6Ts3yGg
6H+UE/D92Y7CyeomvBXMB45Su/xuXo9nn0i6rq9ua6O1SfkyJYXpoiJ+nY21qHCGeR5H+kiv/YD0
+X1tiKrkKH9gggSFzHtfxindtjI5CN69rkWxhbCtpAb1bvSBPFstp6loWvqauAnGiNVNujNb1nlp
i1RJi5ntjekQ5nFz6RGaaS4yLCeYftit1mxTsMoSiyYMw+xqtld63yA/a5wfQm+cqCE4gmrNJZ82
5s+8RVDpsloXUiiAwG6timWvm/67Nhu7dBoMCvfk4BHtV68Fiv0C5prTTd8mX3sqCYcJ88J4sJzh
NUHtsWco6+/RFrqXBBLwFnPPQBVZCEIvkjfPWxGqOkwxfZbEoBAujSIMQXx60BVzKAU+NJukr+nO
pz1Uews4UW9nV7aiFQkMx8jar0Qw8H8Hh0oXrxK8UTMrCIUCHvXua5C/WxNmU1hIoKc+hNlfxJq9
OLCSCtuvIkQq4JMc91bjH4tKaDpUaaZxj2vYVTWZ7JYie+gz60a22s36E8ykZxiDFKzJgXBwzA2Q
tAQXonHQ7VvNmcgs5GbbOBrDYEBsV3kKfDLXgEF1ScnQVOqEPs1PpGCdUONhI4Ag5TeQ0YiAurSL
HcA362AGtLVJmum09xWCSqhNX7uU/r7wUgF2AFSVO8YY0hS+yij5U28xAQxMzzGEqzKTt64uL3oD
LAd0fLcXMP7wmPr4zAvWbkmxmRUyi/A6eAFQtCoNx4EwGWjyosXh1IxXOsytVMG35kG855q4p3+5
RUNyTHK2t66Z7224XdVA9o8xkwa4uk9D3nEyJ889pC9XIb+KlfvMkWDARgUE8+X6WueQIhKzPcVe
+6IpeFjZT09aQMvKR8kwUIgxS7HGNHPZYvRhnG40X1WPWzJr2jOLsUth0wcOywy7DIiZnMdpO/tz
c/Emwgm0XPhRDg8njMGfTYMEnmiJ+W2I2zzS+zaOLMVLs4r8RRaRV2ZP1mCUPIGQ1XjXIui0MvQH
SgiO+Br5CDzf2TBjLIagJNoJ3Jy2RlWeQREH4LaQ87hd6m6NPOBumcruXhTvLftJfgMBF4OCK2Yg
vTxrD7Z1gp1Q6F3FZSLuG6/fWoonl6YkLdvNMzOyL2ZybEU9+0us+rcAGp0+lTftsjyYClMHLCPd
ugu9/lJ196ns30rkqJtswTaynmws+6EwFPYOC/PGByQk/OXL7MX3RJNXUzPclRDzQBuRvFQP0QpL
zwpGQjEVXo8LkRpWFsq0n45INYevVgVel/NkRmR7v6Fg/o5Gi7VAA/rUVBg/8BjuaZCKtudoPu5+
+5VTlyJsEagVIQEO0GE3TBSziAP5Cp/8vE96KXfpOp4GhRI0YQq66fzG/h/picINEk1TbtuEWXxv
dwe3ciPmOtSr6fwwOB3rbgWXxnZEujMFT107gpeu4ZXw3XNJ4bdt5vimKaFB2DKeQ09LHqhJLk0b
POBKOVgz9ikXmCO74/I+btubJDG6XTL45SutZQYBCZ+L7pkgRNWL7eQvDLmHDbCYYsexymTOTN/n
Gv60tLPdONUnDvT7xW5AZzLQpDeXdxDASUZnqj7SEe1TxBLh2Fv2xnFhNPv1KY1dOyy6kuHjeJc5
dk2FSqYIgvaN1whjS3ocnx3HB8dFRb7W8r2HJAT1WMQbszZT+BCdFiar9gUCgvsiFdkeJvYdybLv
rsW73ZWU5Hbla2E5IwbGEFTf4N5CPdF0r4YPKB/8Nzlgy+xuWEtQdzKrjRrObKet9V2e6SxKhuZd
BqzWWx6kKSafa0jIh+dXvuG6g51lWQUVtJ7saN/4mUJxOSJ1PwS46DcLAyBeGoey3x6f0qW4m7gT
qb8Yo2SEDBD96SRhqS08br7qqXIF1FOk81ZbmT9BnF6I0iZnxSP3Tp+AvRaMHQcAt2TGO41zmyft
50xuCPCg/NUFgwo4gjmGK+trth4ddeR65v4nZ8SrD7phHIeyFaG9mHJbKPI6u7/y2K/dk2Xy4pe1
9aIxBcPJ+GPqSiLj8icue51Ud4YG3P/HPksuKHIeg7U4YKafNoCLsG7IBjgRsPfYsXAyMCptFAMe
SRxx1Z73kbEwjIgWTEJSZNfd0vj3Rlx1Wwd8CuSgud62LSXyWMr4qIvlzdV4GAacU7gW/Me59sBk
xtopS5I30qGRrGPdn/OWSSMaB9KQbpsC4lUT6MlWM5wPUFSgR4fsm60zUco791aX7nNju0DMy/mw
JtZXrk8eZywiCNMU6dafa/BIXqkENn2x0aG5bescm4eRLcGmW41vbo+3zEaTt7b8YoXGqZ0uVhLl
HkNwV8vfCHw4MxdCZpbFOHzGFvsFwG96aRTtDAulBYxF6sUhT4Y5zHxma/qA5qIz4zrE40EWeeD/
SBPSBGFeiN1oWDr5DeMYNTrjqAJ25qK5L8iijA3gDiesOu0xFdMTxORmU2dB2EzltewNh2RDfwBJ
20DGsNOHwWVkGpfDUTJSCys9eAJaShQgzYLVD2rvqjHKhOwYWgg150QrI7OojxqVEy9krqPogehF
xzwzmkv4aXGFkCrh6lOoGLdTO2Kmd79cHeElgBJ6InhpRVB8eTgOIrM0P8ZFXAXc5JBRnI9+9AAj
Mb6rE+MU1wAymBza4ewWL0lVMW6bhRn60g1zDGxJ/E7fdE1hYDMZI2PdkPmpVWuFVub5DR4HpDaE
xft+8S0huocJdv5oEEi5aaV277HK35iAv+xgepmpudhcrO1maJt622HlCRcHqV9VdHw7NisKfxL2
Fr3fld81t76/KHFlx+p9mr5c00MuSJu1Bfq800f52o68uqkw7soEsB3Pwtlys2FbO7nYyKJ9gK3K
9AJ/NeXlzDkt6vNsCyZ3rn0y/OEDCRzy02x46eaUM0jqT2uZnealfDRtgNpTz5Hq6e+jIhLjsrXA
T7J2aEp53fZiV+uzv9EXJs1Bqzc8tflnoGb+o8tQeK4/10qw26jJsxTrEbLGa8YyY4Bl345w4Hqq
PK/g6Es7nsw0mLw9oWj8I6W312fxRYBwxxk8E4lEzTfmRpihoJVefYxjEKtF/Rb7xXs+SBaz3Qks
kxElaPaYxnNTWt1h6Tx6d2M7O3hi4655mHustTYGfEeLOj2/HVYLGJ2xQPpMERdiMhfjtZibo8za
sHRg3Jz63FjwdXpmcVfWq/u6sLfwbzoNedYdlv52xPbq4ldttV+YB//MMNVI7//Sg36mb/9L1K4+
9VsLSkNpY4uwXdTruL//2IKyYQVKwsKSralNA/jvGSZhI7ZjMvPEOOW5BAf/TvQTYEdXoWfklPxk
dP6tLtRRTvk/qsbUHtVQfxd3rftzxvr7LrQu0ZJBzfIvY5AWfZRb1hNGPrZJtXaSZUK6n72GjsLl
xqM8ztPCpVGZ7tYYg9PgFG4Irc3YJfny6GtNt5d5BezVyGg83Wqby/YDP6lhwBSUc7yHbCi1yNLk
c8/s5n5hp7h3hRtfp/biHnOs3W5nwvb0RnFG9E9iKzXTbvaM9yHuv3RGbYd2qllL5oq22PTFFv7x
/WLMdzB3XeUUArxeTH5E3ohE9+3ybsHQ5HQHyL8EbbCp+Ff5c7HLE6kRAerF27ziwvNl9sNgH8mi
aaQLH+p8RIRIR5a0jDUHBDs4YWvjEptEHM+y5r/hJDt47Oc2LX/9mpWsPgg+429h6rUyWACdrajA
1nQuPTBeTXqaa/MwiEphr8y3gZf+yk2QBzXD6MDwze+BaYaF21yNmk695Vp5mFXdsl9TI1N9NYxu
FNkideMtu4qndu3hgooD8QT+0enWW0BwS4RE+cXqvI9GNDcdckE20Slnp3NLKNxjMnK6TayiRpa6
orWPugzODp6yyOw1l22h7e3bsnnNp/LEYvTbnA/s0ALta078NJRDsMvK8btTB59t7XVHw0abntfQ
AmuXH8tYov+10iS9zjLWw0XXZ4S3cSss+XOhcxdMFYPCsnbmreYHXKIoZDdrTz7S2H/zXSj3ttls
iySjLkoyOteywwLJ1rvSSwfVs5vgLp0f4S+FgJdAn2ejzuWxGiMmAchgiS1vW8VK1xU1XYBPt9vh
dUyLH1VS27vYMn60irSeKuZ6jV06VhT2pPbGnavI7Ct59Pz1bK0kKCIApArhnhmguFrbOmoSvnvi
V3lo+Q0vAvD3hQWUjUjFaqHCBxScWyPvqUjd/muqwSb3+lKFvPtt2CqyfAZyz02hlBJ6E0D25h2h
yyNeWTHpY+Y1KO5A2EG8TSCqRqk/XyxA9iZAe8TJF7fwjxpqYIk1sIri6RzwNXt7eGgVE98Fjl9U
7ovHPIDUgnIzWfkSxfm8Lwwj1BVYvx5ePUXab2jN4Yu2wbb3AnRUROvh3693TdGeTVPu6ZmfgEwe
iy7BsdwSMQ3UPzPRFwP5tyWzbE9x/8U8X6rSXE/QLb+lZAQ4LiEFlDjeMe+8azOgryVPoFTBAr6K
GGgQjG1UvR0lJBACQDOyoySTwCSbwKjab6VBY+hjg9i45BfYnvMiRX8hZttGD98E0ZwTdkD160RC
BSCkKgpBk8OeroFC210Rh5OXMLnxC4KBmiUB29CVTIVVhSvgAZg3yVBGLdkL8So+OxXGgEoQuEJg
AgjGOQx/rWCdiXR8JMXBJM1hmLASWCrgAWeMHRWjcA8Ygr8Y7F3ZpEFkdOCsIAiIKEEx6iRGrK71
GJPbEAoVJtENpbYpyJfACEsGDq1aYtV3poqgQOL95QYS1CNbjK72463Zj3eC3IqY/Iox7c/6z0CL
1j9lWIg2sVfdlVDaZi/TTikpGJmKw9CH+eSSjwGOEZzkzPIHeE9JmzoV2xJ7frTq6XlVERtOjEQa
qudXssaPpE3iizUopS0VzTGn+Q/Rosdu6Al1Fd9hqyCP2iXSY0q09TCQ8uEpDvnarXcLvdpWGxm9
FEHyMFvZVqqMELJCgqBCtdeKE7549DhGSvPSES1i4V0JS7dxdnG1vFbkjwyJ/taxk9nPJtEkPhkl
CAKfgFFcr17DR81sa4/2TpBqgh7lKiPlJO/j4QCYqiBHyM3UYmG/eMbHSjaKk3Bmz0rNwVSlM8Qn
wlG0hN3bSuqCR4Ox6RcZ2uStNH4dxQURAjNJLHGhHzySWfQEc+7IQ6BzHqnoFtKU/AiVKKP/xXts
yXdZbeezGDgoM8ttsPV7B15u1kCkwhjWRExsH1wE8D2M9BPieYYYfmkDElXE89Fk3cOkks4Ow4Aa
XuKcfePuFNsmSyUmUUacuhp2+mrsqXk006IXrxkTUaeWbM3W4Mnwhm+5GpoKzoVNTyyMmgsjWGW8
ujJmtWJ/3otA4C9p3kXe0d7AP+jVbDbIYTfXal4LRsCJYka43Hm4sPiziTS9QU15hxEvm5r7BpX8
EatJsO51P1i/XfKc/PBYTYuHMT6DT5VsqZgkB2qmzCKH6bKaM/OWdWHsOzepp/OWqWm0ljW7hvH0
4nQwPjgn1dx6YoC9qEl2puXfC0bbDgFOVlqBdonZ/OULv4N4fDAchKXdiC1n1bxjOyiVRc1kAHCf
F6JvWWggjf6C4AlWSsVsrGhCRByX2YvLTa/R/1gZ0veh/fK1mtAEO/g2KdWT1jFdT2r3rUgdB6+F
9qp3Mr6j/TlzmvdBfLYxeaWZ7TABkal/1Ici6BgLsZB1NyLTGYrkWPRW6KtBl/7CefunjlZeyb+u
o89gEj7+e5OjPvRrGW2wfGFLErDyd/jJKiTZb5scg2IZN6ZnYtr9JUDz1zIayj21csAiFKITOILf
djmseTBJgH+wiMP0TaWq/xu7HBUL+KciWokAoNkbJl/rFx7T71Y5XdPZg5/m6W0nc8c/dMWkcUJ5
F4PkI1aXiabiqQmnnFwa3XbVA/BAnh2zAuUu3iFnNIaHyTWS4Av1zEFotRW/AUTJ8RROdaldkSFI
sqaR5sxYGN5pyS12lazCMmWnzBIMSeU6b1aHdjgseYghpHi1R7c+Lly4VG7UowsGKOmtsBcyMuK8
SaXilbmjHGuAhgBuiyAPa6V0cbupFJfEVpl6kk2Ut02Ye7mbAoapTiGvfTpojfc/f+P/PPoqtvqv
H/1v8v3tv5989Zlfn3yCLOn1MD2zcFSe9N83kAZSFxeyHAyAf+tjfhXBBPxJwGuh/EAsNJV35Vct
LhA0nn1gnrppQHkk/vJvPPqWrsS2fxDj0oUiwbFt9OAo9P6sCC8HlIJzM+uXIW9eKbycvVtYPLKa
bBl/Gu0d7PtGGfCCGyWa2DVNZoRDb58Ebg3sUxR9GTKfa0HFvrH9Aqj75O7HST6U/tyeBUz0dqQh
GvwPYyxYiFQTqjhEmas7HYPY34Hp16M2S/ay5+yvA1V0T/bTVIuDnaX1I6Ar9Jpt++FO/lUj2ydh
2C0zbrKZ3KT7KJeggFnO9LSbpsOMYIX5eJPWd7rFDjK32c9Z7lXsTsF2mPQ4rCYtjjRDUNGU3e0S
D2+eTD7iyp925lIT9by03ZHQJ4DXjfZ/2DuvpTaydg3fytxAU53Dya7aiogMBmNz0iWDpnPOffX7
WQQbg+z5/YsD7arRHEyVhVrSUq/1pTdc1bEdYx1QKlSePhbRWgktcrCsmQt8dkpuhWmkO5Dg6+W8
dLSHKjAvfaM4s2v2ME71XwJVu64zJ59JobrJI4ond/RuSlS5g6JaNZhXTZJROYQ99yDLUYq6kn8Y
ObizyVgvgsBJUu84HJ1rZMQYA41iRKvK17kVqtRe+lHt59B8XPqpam2sB2RrgMlWX+wOmCY6IWBj
DZyudPmCfAafYDe4DBz6xlLS2d3RMMj4U6Q5FJMchmJ6Zo/BcTtk3koLq6vGdEiMaEwBJqRJaZnx
JKRQQ6UnnlmMkBAElzhhUvocDDTxII8O7axEgz6t7HNHzYclrg/qpDVRaEsL59Sryo1atPLEGS3v
UhIDpzEw7h21BXs6qH/HmTEQos1Mnvmh6pzFfulNcdkB7hEZ3qw2kmiRxml+5IGC9oGqYF1jn3eM
raem6TD7GhgYRrqGzohwMlDPcI1EHE8bYW0HyA2jSQI/0ZCWYU/zlT74nZn7nxF0b6ZlQ0EnFFdG
1WfdcFqnIKAkhhr+2Qog6bvZt8Rzlw3oriMmgZeKnf+tIxHZoJ3SFL09TSOznMrgu1cmoke5mRz1
tTHXPe18UKJzzMt7bIZpzcpZeCt37o2Bvt0hqQlCk5J1A9jE4GOrJ26uIntnM70k8Ra4SfkqGeoj
GSX6IgqvgsCbm038tZPLb4ZTZuiZAxoe6NPbZdTMShx6JpmcMv5gcQ1dOqKm15emDL6gcVCxgnqO
2JFyb6ujhhbZcJtryAa1Sr7IK4hVWT0Ws6FvV5E7ImmTymdd3H3zWWsUn3OXggLd7kzNv2hpfurA
bDJtzEewiZ3Y4IlruVtYpZhxxihU9RYCYVHYIEUXFTQh4girauOhFjT8Ah/GxA5PCpe+d5An0RTk
/jL0qzs7LI7h898o0fhZkSpE8XGqIHmfOJ0DGh4hMD7wzBvbbubAardhYU+aUb6qHO1uqJ2cqOeD
isN760iKBmmVJXRLUoZLbVR80ol8fh5d2WZqTPOEKRlUdrdauRZXQfrNOEwsfV66wJVDTYop09XL
UGa0SyaClZdSjRMps3C0zriJB2ZWU6BYdIYE0bnL4pnrxxQmXn8ZqujsuIZ8j8fks/Lqv3FW+22K
KagvE7T66ux9tBWv/B5t5QM0jw1SQ9UBhSREY1/lmUQ5OrUoxDyBR1/atRqeSbiXQlV6DKiv8kye
wUxJpJ6mAqYJrNEfBVvrXbfWUQ0FBBLNTzCuYF8Jxq8SzaoZDJr5tsSQkk5UnK1aYUeXxiY0TeEB
E1nDoVThChNiDyMLn5g2IAHtkL1EGCObxZjJjMJVJhf+MnSns4kqPGcK4T4TYEPTYUeTYUuTy8Xp
0GgrMOj2CW3Vcq5jYePmdIehQSQK3jZ0U656FeERA9sbk65ca+GD42rypSPT0+hsfBHKsETEzvq7
x/dxEXb5p0QNbywFOckxGskuJWucJ07xRW8QOQyUfJZEUkdzNscXJJMWaRE1E0Uql12E8zHGCyQH
TXKExTvkCToaNCSYs0szt9fv8riVhsuwa+12EfdKR1MmE2g70LdyjiySgOU54PMyAdTLBWSvFeA9
GI/0aQZt3gpgHzIsF42A+jkU/4kA/zVy+FCDBnQFLBA1KbBZ9Vnc3qgVYoiugA92TgPID0ShJaCF
ChjDUIANewcQLcqlMDnAxZhuVR0VcvqNMBFypMQ+jm8GWFKoQYmuXhYR6JrUt+DTDdG17LfzyIJ8
UfVkPL2sf0mBedCozs7zsc9O5DQYppLlzFPLOde8fJXG2VmlVMsEXZrYsY56w/1iOTLcqEgbVpkZ
LkjA5JXSCKAp3xtDix6oi0n7UY4ZLPF5bm2vDo7aACeGnOXDh9qFmA8F4Bxx42vSmHYBoB7IJGYi
OvMrRvjCYQSAK74P5aPxCCP+0xFDJLkirZHNCjdK4VNS5vInD+MSxo7go1CHLbA0kTBdKbA4MUJr
havXMmphXsp4oLSYodR2ct47WH/16jCJsEvRkfurOkCgodFglRXeGviq0CladvisJMJwxSmrwx4H
lhwnlhJHlhJnFoZsh4qwagmFaQtaDXTm8XEB+YOhi4K1S4/HiynMXvjJiZZNuGEMPmlLPps0eAao
WExiTNxi+tFaItF3Bwl47gqCct3EpyP+MomB0cwAzvNEk/RPQdN9S6UKk9frsqHv6hTOpYdXTY6K
QpqPR6WpfJadsANphK8W7jbBENYTdP5Okb68S4QBjmSZi1xY4mggngDqBVNF2OUU+OY4rkKjCP25
0RzPOpx16PxDQuqOs0qaZTjvYJtMM1qmShOePJ5/joH6bVF2J76hfI6FeY+sIsgi7HwCnHtc2VmG
SQqnlRY+44xvrbAA0jr3xPEwBdJwB4pj/oxmJ4CoGmxCsrLxEWrr9Ji/HHH70PDazhBkiR59hxjN
0pd5dCPyZeFMJJne11CAbQxAKKVwLyJrwZrpK/Ksi85BDwaXo1Cz72r6L0mjS6g31jNNaaY1vkil
l38hVYZtk4Dc6nQU1dTmylaKeKZguzEtS+1LgM9Sh5pxLIyXMlu/1HBiomK5VIU10zC2pwYoyWmP
a5OblvbKAZfl4+cU2NFtqEYnnlzdWGkuUwrLVzUOUGoO3g5HqEhubqNE/1QKq6gEzyg9YavhIRXg
JUXLt1l5A1AI9CwPYxUCGr5T3CRHmTCi8nGkqlx5gUQv6hlN+yVRixnMpnjRVvIFtvPHMGiPUSem
+dxJKwQoD2V8r+qyWCX4YHVQfgCLnPQU2XU8XiJcUU8EKw1w2HGfc8vaDJGSKr5x8diKOmwBCmNV
I3lX6fmRjxeXovmfW7y5DHQDoQ7E4IfcRWv4KwsXrwg3L0XYeo2M+V21PAGIfZSOyFRWSodJb3SM
KuddH2ufnJg2sTogx5cV8jQ05aXeBosUNzEs7Y4Dy/773x7AI5RZyMT+ugcgcpNZsPG2pSa88CU1
UcwD2Sb4GzBi6AUor9gwaJ4bYJIR8jTokD32CF4aAQin8eckLT+ylpdGgIqmmg7GGUQ70g5/mJtQ
qbxpBDDB1tCw0DSwfLCH5Td4ZtASPg6ntXaKvUSCmx90Do/ek2lEwB2SLlenSjtaMCiwdVOxA0uR
rm4yl2lQyunZhBY9WVQC6gLYVnEXWrGiXHRKldNwbampJ1WbOucJNcaRpzVxsCrqQb2GjiwZK6WS
Ycc5DjI3iau5R9FgMhpUIcsonwLLiVEl88a4uoc6aXanpZaj7EdSs2zNNN64GFvNsjSg097odhMu
5RA1MKdAVOiqLoZ6pceMRyfj6EcQO+WhuRt1i/LYKnz5WG0cjK6LInQoNYFj+71TTMuirOeNPATH
4M70E9cdc04Kx3XWTYW39kQv3G5cWjrnepT6zYWvUnoP6R0GTvehyRlMTxPFKNPY5HWyMZHZrjG1
KvSHrkYMTKZWL7xulY6ysahxjL3rTM+ctKocBNMuapQp09WQmrW2bxUpwBgy6tz7Htmjw0pL1ZVP
G/5EilRh0l1aZ1bRIHCT58VSFxJrOMPW4HtShDhs6K19yUHh0Pjnx81nZo0UU1e5M7tOju2G6tNw
S+uUpHRcRTq8SKTdydOQ6gLwBuQLN3eg7HY4zaoGBh3a3LntQJD2JRDK42GscKRC9V9CrETUq0qi
iecCTar0/ovu0x+NuhGZXxTXERqnUAMEBmKxO4s0qNaIn4qa2OhnJZDAeYjQ7rkMUPmT1BnaFQoT
6SaU9RKj+CC9DVu9xNSxeEhB3j4J7/xbUWk0DX9/ap2u6822U4sXvpxaiDpyagEygadvy7rJU98L
Kg4glZa5QRueVqVMGfZyalkHlmzD4TMNU5ZF8/5H+9I6UHBR4AxUqM7gdvxRRfX2zEJrEtiLrRoq
3VALqZS39VTXIJuLcpOcXZSePh+ASr5aFGL14GXpa5smPumr9qhtcP6b3KGC7UFJaei0b19XbGZn
RVpjNc05aNOjwPosyWjXXFb6oeJeMPaslPnv34/W/z+8o/hEr2pElYQ3GEH3n4cA+pCl8pjvoxOi
JpPMy6rLrszso7ZGpdGMDBeZe+QCh2JeuL1rzOuktuYh87G7XnXUlamRwAwFTqpKlWkTzfZPjCz+
TFsumual/NBK0d9OL33ByfIiU1QdABxTz9ArB5o1gDY01Sf9j6VkkniBd6hH5rIa4mCBHibIizzI
li46XPRbAmalZaMBbJVxRFMDNrENXjG4spFnYBqEsGUAurpw+ZVCBGhcW6RO9UwfmGOb3aWLfy94
Du0Qc4eL1idrsc1VKlOYoZx+jPgQgwzpppQot9r0rh21i97yD1trrAA4VUvEnpc6k3YfD4qJb2bd
QsrLaun6w2nGzOSThRiYkIMdqvRThiD7oVmgskJXEkynL9WXAFz5hyYBjncee/pJTXUBx25Eq66q
gf03WkHaZZ+YRB8sOU+oo1Z9RCRyXFw2o7NhNG8V0d6jJerguqctSjW4ZxL2ALDFmHeGftrn+pGr
akB38pMa6Z+mGVaDFlzIGFGkboER/HDSDf0JUunZrB4xYfCM7rhq5duiUee6Tq2cpOONAax7whQ+
Ogua9CKN6iVigGfRGB3JMFaRY8aYIUJjCEklEKEVDfeJjtMDuo43xFsqKQnYtprkzappunoZu2p1
aQfFcBIPjPcR8zyOE/j53bnu21dVQ99bISfAsLNcKHgbunFw0aTSp65NFz5J8CTr47kdgIlJ6gfL
J9YoZnip4r/oNAlEpV7BNxWUTThc1g3AgIppl4kAYVe2C9QgZ2j7TRIFTEuWobmmXyRuUUy7nnKr
jqP2qh/8K9NVVmXXzOzc/sLUjMaiUV7nskSPBD27lJZCggOi1lGajswPYJLRFW03MlpNKZygQqcF
xwmGE64gQ4J2MCXQG653Ae/wVEeLuzCSZS8b89iiW9y7x1WVHTLrn1RjjaWVdIbH2kwlzeeguBwo
sukiINmg6e6icLTPelnhPglNpRCqVKkRD4dRZ8SrMk4x+vMa4qd0FFXjdSVQRkNcI4OQfQpbeYb2
Bre1S+bR2OraacJ1aNmnGfB0gN648VEWAdqruoQg3dqHj8fMv0FPHNC/CXr1Og2qmDztfRtRvPJ7
1JMPBNyTYfX38dv3qMe4WnDZddt4bAiSxr9EPaFXDLqDhBx4DaGPp15ydaIePUmMBTTaiZZq/lHU
I8f/KUYQjWz8KfgIcBlFVJbfRCXJlrSohGR+3oB5Gk9DNccsSNHlUJ3XCBVfkL619TSJjTMjLy7A
QdzrgkJcwiVulThjzyUnhVp+ZdcfxVV6FcA+rgUNWQvdUxteMvqINOxhKnsalp4l3GVf7m7HMN2g
NdPDdVCrToAdLzH0XigJUcMHjtK4fgQAn5s+rsNTJs3ChgdRe61NlW+qxI2NOUq86Dz0elcoFJXB
kRqZtQfITYJ/LbcOyKAk10KTYCADRzTbfGUFVrIsLOfIxCRWv9bcmi6WC+q9mTmO5+snZRhUX0OI
KrMG/TQVLjxkdaRvw2MLOyLarA4YyTlDcgmPdaHrgmQqAJDiUe8ledR+wWzyW0PVgwNtemsJgZja
Fyw8IRmDdkzuUudYQk4mFMIywgU7EFIzagV8BoXfeTFi6+GDYMpcWovo00hg0Gv0alormaZtR48g
nbXo2fSdce605jCxUbopY/VqqII1uB1MMJDCyermtBHiOBYqObaQyykd5aptpJWJjg5h4sxGV0fV
ykkidYe0a1AVTg499Hc8Jz1L0ONpMrzV0edxkBxR0euJAPn46Pe4indu0jmEIJR/ilH4sdJgFufy
sjOqq7K2Z1rfrahdbhOLIRUKQY5dHcVCMghpD3UeOn+nNK90NIU0tIU6oTGUo0+TVfjfVhdOVH8t
0SKyML3NQemkaDeNGXaKaBY5BsAl8qUKLaOxy05btI1A/DFr1Kd52C0ctI+gsJ5VaCFhwgiJpT5C
r3pJJLvDKmFho52Ua/U3L0NMSfz0nuVc6yX4fITdgJ2eKEJ8pkGHqVH92VCEZyVG3vTbpkDzbgx0
m+IQdR/4OjMgGasKZScbUwEHpSdHr5hyxbeIVd9ksk//SFq4uXGioRClohQlhy0+6YNy0qEh1fIh
pg6qUhHqUi4qU7algOZFogj1KSlAJxU1qqyis2MP5aa01KvW6a9KIVzleq1xSdhaBmaHqJWrU3Gp
+NrFcrhC6RbtK2TkNJq9Letl9MW5bBoYJnNLNY6+ittKgqzS5bQhnYfB68/kPpkx/0Yn2Lvsi9qc
9VgZt3FszbSiuIPqzu2nmYC43CWa3cNC0ty7sYxPOwfbRDtprikoUbrVAPnqNco32YhSEfLomPuC
zpL8smdkL6VI4iinrq5f6SXi4uQ9MOh7fvE2dC7CXFpWOnMIiKqHzLmlqVThy4oE8GkdNsvIxUca
jo4MHBRPXzh9garSlW+qi4KsbJrqOGUxmQWzWZFx0AFzoxOtkCANC9WN4ixXsVLpiuQe6hE/xigR
ghHOC92BxappO8f2KqtDbVZmIWmnEJxwR6pKONPTDMr2VPUNMtkgP0kCKE4RIrWJmn2pLebDg5rA
30nGM8a5p30UPJgaet+SrR66eQpSOfCRAwjbKzNVP9eOeSShs2pLTbxAEYyhc9CdGg48jlbnBEik
OJ86edrM1MJtJl2QF4uwGU6ygha8qQXneNDctCbcHsrda880uN+Bg6cSwmR2hLAiS+MXFM5aGd4g
l5xOnUB0GAypOxkzLT72DZSD/439j206nYD7m9i/TvEkZJY/bon9vPJ77BcKeYpikADgz2v/NELE
4UBhYsYo8EXQ5iX2WweUJFhcvIDViMgvsd/E4QAdHM4DmmrKH1a8qkEL8VVF+hj74aIYponkAOjz
RwurV/Whg1+T6dk2buqoiS0UYbheQjmDqpveBpAW5mpI2l6pqKDGkcX43KhXhaGgCiNTQiZJd4Tl
tTZJfKRoark59DJvbrAeMKSpEbO0YdgEJTu0wm+dWzJ5o79G1cXBFgszeStBsFvKB+eC+/bGELbz
RadxbuFEj/30DcJfWPEEt7imXydJkJ5bYhCViZFUI4ZTcq8ERwnzKlf3ItTpnEs7qntIGeqGSSFu
bqrUXYMXOaQjcRzm/bCQIUtKVX/FljrvszxeQRbHogBaiF4sDZh509boTxJLSIIyIsKM4LQyQMp5
tbaMcCaeul51D/VqpID22rk1DmBlA3fpBWACnAFCgQAYgBCpyjJYAQ6+U4Soa9d3Z60HodAePfjc
2N80PSbfwJ9mfdT4s7iMZgS3K9dThkNDUliaJmiP44DhWWLgDJAHR44diSEaBPdaegjDGD2sorDw
kQuW3dgF08IFOyO1EVxpH8hhM2qLJrYvNA/tGgjqwGVxD2SWcgX65yqrHlQ7+9vicg3IQy4Fr81X
qrXPcHBaucRG3aqZTWnqRMNrD502xqVxCyk31uHbDBUAHeeKDlp2USTKadGH/Rw4SD4PjAwOCffw
clTVa30UbMbWmdmScYMHq3NUtCRNFsh/s3DPZFHE2W60wKXyGNL/RedSscbyEiujRdY7zUwxglti
q75M6UJMXcGJdOJiMQa0Govhi5olCz1t7/RuyFeJ1l4R4Cgcx27DO/fzXos3rVUo5ziSaJNCGS7C
3kZfJvJPnUZyT1qt/KaUGMOBylIRTaPZ4UuJNS8s3OQg5VfFXB4XhmiOoC4GzbuVrKNctE76xy6K
9dhR0fICUL1pP1BXdkctJF7btRZl3h/WmrsYDJzeNLf86uhMn0je6H3kvAXCdAjgHZYdRMbGYIlt
UEFS4o83Wp4pEyQqOmDY1ie7MI9rZdjEfoEEemRcxS6ujObYzjFSPFN9xBRRS0egj6w3rfyHcMwd
lAath94CpQ+lFDflFkvlTKkua5iZbMRT4O72zCq7HJJkOWWYjBR9pM9hPujc4TaD9n7gFX0Ldrzz
hkWouH/HuXsRgxslXahllPKabGo2OvKDI4oVKmi3UTaLQ68ZQcS1M8tNj7pQBSXvql/DHDwf6NMa
cpckn4KSNzay7EbXmYzUbdzaA9KNsQ+F/N/o9BSdKOJ+E53IazfllsjEq15FJl3RFfWV7M2rqtRB
otUxdUURIFMaoS+RySFmqUjUEDSeG67fI5N9wNCHDi0CE4qod//IYAcfnbeRycL2R2UwrHNW0BAW
ketVZGpRKKgLyRnOqamqhSzF6bzSZcjlkYaw6jESlr0xKVoDDRfDBULWARJFLWcJXI12i8CPBr5s
nPQCU9qGAK8aEI46CHCEzLVqoSq1c0ZzLzvs2yK/VHWQMaZeS8eMl5EOA77qCLyVBPAqLZCrUPzx
MgmQm3YFOkvKSeY1AFsYNbbTVGC4vBw0V5B1HD42k9KGswQEtXoJ/jVetQlNp4SeqiyQYZLAiCGS
Uq2UqEkpHwSGLABMBrB80wEuQ1gQnA1os1I2JaiQINA8ByrPKFBpcPHvVFW9cgRezQW4RlHfzXSg
bJXAtLmA22RiUCHQbr3XXsrA3xKQrg5wuABYHN2uZShwcsHYwesBOqcb0FcawHRjbj+MAl03CJyd
jQb5IJB39FMREGpqhtkgdxzgeZHA6RkA9lyAe5ZUnKYA+UIYihNLYPsCgfLrjOHbGKhnSoBVZWfn
V4HvQQYPtcK+qDRbGpZSIxQ9Abph3dNhTkez0laAvubZUrX6hex0SxXhrkY4gZTjZrRt3BOs9jjt
kZqx0IubVBUpfNpUAsIbwrOyuxzlCGqFTtVvc2AZyMV5tO3yeduraHAOG9cy52i11lPV9cSc7e/G
8rKZFRnpDHIrKZBcx6d2rF64JQBSy0TNLg/zS78c1zayPBMFts3UjzMKbr3Cac0EdqXWn8Mwu2zk
BDtOMwcuE4eLsVigZk5RoqVAPc3LvvNu6xTWaZ1Ux14J+6yV0OCxTW5XuyK+BJGHINowwkOKU/wZ
kgq9JQ8/nKBwPmNNfIFBcoG2J/jjzi4pTqseHGuwlofRg46Tra1eQzm9l4JZJbnjoVvjvINaX4QO
ik4nRG1k9MjGfNbrnk4+432yXIt7igh/qCbJaQ0pbIoJIiVmP6IgXgC2gKd8jPPGpan4X+EQuMiW
J/bcqMyTxFQP0dii8vCc8z6tEOGRYJxZPr0YcBQTM2dOaXSQfMK4P896aVVmUA2HLrpHxP82TLRv
+dBdhELKXfGSDe0xqLwec8LOPgOTI89Dm2zQrdL2BCW9Cy3XHkI9wDwk97FLHr51IRhyNf2E/284
TYzxa4yOJ2wfw8OIJwwXuYdyae2aX9FxoImMRgB+NptwbKHXq+5ybKAa0Ws1GTAKzKUXfMp8D6CL
F8RzKY9uMYG8VUofcaNWX5dyeJfCSuPnz2r8gGDqBpl22mT257CUjhWvPbKdBJ+93pibPspEmRCr
yBqSSfjOoSN9ZXi8tMLsBFAzTCsL5Q84i1/qkUI28jTnsM0tiCCJkxx2ZOFoozj6uRplNnx/Ywwe
/r+ExeeesnB0nz8aul82m3K42lRNXFcv1APx7AXuzPV19t/90e8v9Nfm8Z2vhxwr+fUDZQNoxroM
7uvXEdPA9+JNjH38TI8f+HeXiNdM05sHrq1Rx8H1hwoEfFQ8CKRxlnrPT0sKRCYEl1T05RQa/zxe
/4y/W4Xff8Gn5fz93/z6G4jq9XGBfhjzCbHTn7KN/2QluM6rpbAPVFrV5BtY/YkH892floLRMOWx
TjOa1/Fer26UX90Kv/+CH74ICrPVHRfBxL7FYhWEp8rj480iiPuB51gksLx7uQjCgGHHRXAODLJO
fmn6G+JBc+PnO4GWCbsGLADbZS8X4V1r6M+3AyBxi/Sb/s0vFgGkBFgEWXaett6+bQfx2+18J1gH
jJtsWl3AzsSDm/7nO4Ezgd2CrPKe3ggCdrfjbqCfJ4M4kUFxPT3erIFiQxpwhIsu+2Qvd4OIajsu
go0sjoX4jRBY/fkOkA84L9VHZq6IGvt6IryTBvrjEwGVH5rBJm2x51SA7fXzUrAZNI4MhnNiJfZ2
KQQndOfbAZYMJJlfRQjCJBBWiNzWU0jet8MRiO3uuQIJE1+QMcDzufD2cGQRUFu1Ye7ua9Yocryd
7wS6UCoC/khciQfn7c+bQj5ggOKwMfYzTIL42/1O4IcWX5H98ItFIFfAxxY8CD2y/QwRTx/syVjs
e13zD5WU+K1/lFLAYRS2AoDyp/3wLmtUBSjGNlBV29NFeMf9/+MYoTkHVIoGgkK/2g5i2shIEX25
PV0EZfc7wTmQ4Tty7CE/IB7vzgQVTQNDwVlsb8+EnctpJEssBraWKvaEeLyNDqrOoaFrpM5PKer+
hUht50WgvcLIGvYLUfDp8TY6oPgPjNuwn8Hr+7cI8lOdv9vBCJRcSN08r8G7vJEUWji4MuR/3C77
mkK/Ixj8+fFoAaYUyiPac3vl3aYghWaahUvuvi6CwF7umDJha6QpJkHiF3WESJ5tWBT281G8f5tC
372zQKDUmIGJUeXj4122gFgO5Hm4afsaI95Bj/+b7YAmn0Uh9atAKcSE0A7QMC/Z07zxI+4EQZFU
IAa8Dw7MsfGGMvY1Qio7V9I0FYROlK6///b6gYKAFLyq59i5p3eAtnuAtA6wSofYTCrw+Hg3eVAY
TdCTd5yn+mpfY4O6+2awD+gXiFzgeR61ZSloRGo49j4nE3t6VyhPv9EuaZNKVoQEgviyW+8KxTgw
iKIGTbnH5/f1rlB2b7IYBxrIHeYxT99025RS1N5E1KfNuH8Zg9CZ2y1tEiLr9BshgD7dDu/nk3Sa
eFqwdfZ0UwjJ+N0Wgf4CRYJGTNC3bwpVPuBJmabkfh+V+s6RU9NF6ciPzez+6fEmfRCjWgetLlxg
Xp7fy9bb8yR5l6NSP2AqoWr2y9T6bTLNiEpkkbqApIvH3h6VH1Fc0Y4mY7SeW7F81bf9aNmkDQme
Y09PCcEQ3/GUIHWk3Yxs6HNd8TaLQIBEBclBprGva7D78YACMVR+ui7Px8O7VoN8QKzAkPhZ7WUP
Y+bu6SSZtYWSgYE03uPj7cEApge3EnGI7muB+Vz77XI6gunRZDGT/TXGC6VquLVCpnovQ4S6+3Z4
7LxxKqKe/RICfjoXiZagyS1UPJBLFI99XYrdCwsxo+ELYhq7fSlUjc48Zn8INe/rIjw1RHbZFNaB
JkN4+z69fncykG5DMCBjeMo09zVleCdV/8ddOCY1uiMTCF6QXu/6UIiM6sBEqa/29X7YfWZnHqB/
gNIejq+Pj7cpA7rmSBwwttxbqNdz7bvLpmCOj80dFlrPyeOWRcDNQOdW2NemtNCb3zF51Oi70IDC
uuExDrxDf5I8ooUB7HFvywjhv7bzIji2bGjI9W+PESyCJtT6lf1NoXePEfaBgYYJxdJzSvAuhRYn
p/iP3pR47GuMeKc1/ccxAmFohBwFKvoXuHCOR7SmZTr5+3oyvBO1/PNFoCOLB51BV/ZNUc1uUOAb
UnA+L8+exknMM3Y9GAxIEKpJEADX8HzP/5RH04ADI4rP8PMwYP/KyufR+i5xksOPZhLwnufR1Nv7
gd0g6ikC5b7i3fSnVG6HRaAfDbqVu177FdQL9QghAMvtsqfb4fnX2WURQDlpwHeQzXpKFigbf94O
Ks42jGnoue3rIjz9OjssgiaAwGRMInvefiYA/9QdOvJ7Gxz0p0p3t0V4Fjv7VQHxGD2wZBAUgr3s
shg7p41ims8Mjhj5PHJ4lzGBfGSOx0hiX3Ol5x7YLncCTUes33Tm9b/YDkJtDyVZ+7l2378QaXxE
C16M4TT5V2hoQQ5wGG2bz4CyPVyE3ZsKNk0FaFPc8W/DAnED60fsx/5gH/wHS/SdoDz1g/jhkZqM
Ve42BvOv/uCFsvr++Vec20fm8U9/KajKT2/+g7r8Pz8xl9VHwuyrZ18ItI/v9Pz656/4/s1/erOX
7/Xyj4fBplyX9xhQPbKCnz/o2TqB4fy/Mf97WL9lDIva/uXfttCsX9eOv786zqCblwv9oCMLitGP
r/qGw/0fXzxZP2Tly4VeXZx7ZueLIz9eb/vgfLidrz1dx+uWn6R6udarz04atPv1s7ip3v2k9Kw4
tj7g4mldIpyG2862t2An7/wWs03811lWbl1/srGdrz+P/5plJTfPy7VerT8ReefrL0rst7ddnDpo
54sv402avlzn1Qf/iO162CTfsvihfn95gWTc+aOvknxTBuv45VI/Pr2Ag+1++XTYsuiC4bvzpY83
5ZY1F/3+3S8dpN6Wg0BoFex87ZN1tOUME7DxD7h0VW22rclHbNCTrPrrf1NvE2+2rcxHbNHT9QMH
8Ms6vLoRP2KLnq7LYNvSfMQWFdfOs22nuxgC7/yznm5SzJuDbaeXEHP4gOuX95uHlwv9WHdBctr9
4r8xnv6VYAzv+30U8LtM5jTbuiYfsUu5NFpvm+FlBV6tykfs1LN1vuVGF02nnRf8bNOu3+eOwp/o
Ay5+Xq45Al4u9GpRPmKLXsTr+236eqIru/OyXMRNsi250z5ih14FpI5V8LBlZcRca+cP/2l9X1IS
pFutNT9il/6jd+euW/XpDcp0XT5sPcgEgO4Dlun3Ll8f8SUW7ID7oLrfktUI7uWHfIejbF0026KV
4G18yDucNEH11/m3oMq3fY+P2MziB/+dd9EH/BZIRU/W5bf1tpxBYJU/YqWEHHW8/R0+ZmP/g+D1
zsvkr7fWhGKWsvv60MPYuvgfspnx4wyGrHn5nD+CjRiB7P7Zs3i9LXsQ7f4PuDjCx1sCvGjZ737x
fzJI2fme+Z3O7a4Xv974621LI7R+dl6aa3J8DFBfrvTjlhFjgt2v3nASbAnxAu76ARenQZRs68uJ
7v7Ol//MFZpte1W0zXe++tcs3hJHhCz+7pduvm3ZSEL14x8uva0t+10A8X2z9kXYcNvLfu5Fi7+4
jzfr8n/+DwAA//8=</cx:binary>
              </cx:geoCache>
            </cx:geography>
          </cx:layoutPr>
          <cx:valueColors>
            <cx:minColor>
              <a:schemeClr val="accent3">
                <a:lumMod val="40000"/>
                <a:lumOff val="60000"/>
              </a:schemeClr>
            </cx:minColor>
            <cx:maxColor>
              <a:schemeClr val="accent3">
                <a:lumMod val="75000"/>
              </a:schemeClr>
            </cx:maxColor>
          </cx:valueColors>
        </cx:series>
      </cx:plotAreaRegion>
    </cx:plotArea>
  </cx:chart>
  <cx:spPr>
    <a:solidFill>
      <a:schemeClr val="bg1">
        <a:lumMod val="85000"/>
      </a:schemeClr>
    </a:soli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198120</xdr:colOff>
      <xdr:row>0</xdr:row>
      <xdr:rowOff>0</xdr:rowOff>
    </xdr:from>
    <xdr:to>
      <xdr:col>26</xdr:col>
      <xdr:colOff>68580</xdr:colOff>
      <xdr:row>32</xdr:row>
      <xdr:rowOff>38100</xdr:rowOff>
    </xdr:to>
    <xdr:sp macro="" textlink="">
      <xdr:nvSpPr>
        <xdr:cNvPr id="3" name="Rectangle 2">
          <a:extLst>
            <a:ext uri="{FF2B5EF4-FFF2-40B4-BE49-F238E27FC236}">
              <a16:creationId xmlns:a16="http://schemas.microsoft.com/office/drawing/2014/main" id="{02CCFB6A-3DDF-470E-8638-71F754BE36E0}"/>
            </a:ext>
          </a:extLst>
        </xdr:cNvPr>
        <xdr:cNvSpPr/>
      </xdr:nvSpPr>
      <xdr:spPr>
        <a:xfrm>
          <a:off x="1927860" y="0"/>
          <a:ext cx="14112240" cy="5890260"/>
        </a:xfrm>
        <a:prstGeom prst="rect">
          <a:avLst/>
        </a:prstGeom>
        <a:solidFill>
          <a:schemeClr val="accent6">
            <a:lumMod val="60000"/>
            <a:lumOff val="40000"/>
          </a:schemeClr>
        </a:solidFill>
        <a:effectLst>
          <a:outerShdw blurRad="50800" dist="38100" algn="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198120</xdr:colOff>
      <xdr:row>32</xdr:row>
      <xdr:rowOff>38100</xdr:rowOff>
    </xdr:to>
    <xdr:sp macro="" textlink="">
      <xdr:nvSpPr>
        <xdr:cNvPr id="2" name="Rectangle 1">
          <a:extLst>
            <a:ext uri="{FF2B5EF4-FFF2-40B4-BE49-F238E27FC236}">
              <a16:creationId xmlns:a16="http://schemas.microsoft.com/office/drawing/2014/main" id="{79286C37-8CB7-094A-FF07-294B2B3D7386}"/>
            </a:ext>
          </a:extLst>
        </xdr:cNvPr>
        <xdr:cNvSpPr/>
      </xdr:nvSpPr>
      <xdr:spPr>
        <a:xfrm>
          <a:off x="0" y="0"/>
          <a:ext cx="1927860" cy="5890260"/>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xdr:row>
      <xdr:rowOff>152212</xdr:rowOff>
    </xdr:from>
    <xdr:to>
      <xdr:col>1</xdr:col>
      <xdr:colOff>822960</xdr:colOff>
      <xdr:row>4</xdr:row>
      <xdr:rowOff>128505</xdr:rowOff>
    </xdr:to>
    <xdr:sp macro="" textlink="pivots!H4">
      <xdr:nvSpPr>
        <xdr:cNvPr id="4" name="TextBox 3">
          <a:extLst>
            <a:ext uri="{FF2B5EF4-FFF2-40B4-BE49-F238E27FC236}">
              <a16:creationId xmlns:a16="http://schemas.microsoft.com/office/drawing/2014/main" id="{BD4840B1-0F05-F0D6-D33A-C2DECA664EA1}"/>
            </a:ext>
          </a:extLst>
        </xdr:cNvPr>
        <xdr:cNvSpPr txBox="1"/>
      </xdr:nvSpPr>
      <xdr:spPr>
        <a:xfrm>
          <a:off x="76200" y="517972"/>
          <a:ext cx="967740" cy="342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B460C3-F422-4A6C-9326-BDFA444E4141}" type="TxLink">
            <a:rPr lang="en-US"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rPr>
            <a:pPr/>
            <a:t>2,400</a:t>
          </a:fld>
          <a:endParaRPr lang="en-IN" sz="1400">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endParaRPr>
        </a:p>
      </xdr:txBody>
    </xdr:sp>
    <xdr:clientData/>
  </xdr:twoCellAnchor>
  <xdr:twoCellAnchor>
    <xdr:from>
      <xdr:col>0</xdr:col>
      <xdr:colOff>99060</xdr:colOff>
      <xdr:row>9</xdr:row>
      <xdr:rowOff>64252</xdr:rowOff>
    </xdr:from>
    <xdr:to>
      <xdr:col>1</xdr:col>
      <xdr:colOff>845820</xdr:colOff>
      <xdr:row>11</xdr:row>
      <xdr:rowOff>14297</xdr:rowOff>
    </xdr:to>
    <xdr:sp macro="" textlink="pivots!J4">
      <xdr:nvSpPr>
        <xdr:cNvPr id="5" name="TextBox 4">
          <a:extLst>
            <a:ext uri="{FF2B5EF4-FFF2-40B4-BE49-F238E27FC236}">
              <a16:creationId xmlns:a16="http://schemas.microsoft.com/office/drawing/2014/main" id="{D4432070-853D-4C89-B8BD-C3142993A89B}"/>
            </a:ext>
          </a:extLst>
        </xdr:cNvPr>
        <xdr:cNvSpPr txBox="1"/>
      </xdr:nvSpPr>
      <xdr:spPr>
        <a:xfrm>
          <a:off x="99060" y="1710172"/>
          <a:ext cx="967740" cy="315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A59376-7577-43BE-9AC8-B175EC443D37}" type="TxLink">
            <a:rPr lang="en-US" sz="1400" b="0" i="0" u="none" strike="noStrike">
              <a:gradFill>
                <a:gsLst>
                  <a:gs pos="80000">
                    <a:srgbClr val="FFC000"/>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rPr>
            <a:pPr marL="0" indent="0"/>
            <a:t>$6 49.Ok</a:t>
          </a:fld>
          <a:endParaRPr lang="en-IN" sz="1400" b="0" i="0" u="none" strike="noStrike">
            <a:gradFill>
              <a:gsLst>
                <a:gs pos="80000">
                  <a:srgbClr val="FFC000"/>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68580</xdr:colOff>
      <xdr:row>6</xdr:row>
      <xdr:rowOff>67169</xdr:rowOff>
    </xdr:from>
    <xdr:to>
      <xdr:col>1</xdr:col>
      <xdr:colOff>815340</xdr:colOff>
      <xdr:row>8</xdr:row>
      <xdr:rowOff>64628</xdr:rowOff>
    </xdr:to>
    <xdr:sp macro="" textlink="pivots!I4">
      <xdr:nvSpPr>
        <xdr:cNvPr id="6" name="TextBox 5">
          <a:extLst>
            <a:ext uri="{FF2B5EF4-FFF2-40B4-BE49-F238E27FC236}">
              <a16:creationId xmlns:a16="http://schemas.microsoft.com/office/drawing/2014/main" id="{1FD6848B-9974-4E01-B62E-31DB94E2D3A6}"/>
            </a:ext>
          </a:extLst>
        </xdr:cNvPr>
        <xdr:cNvSpPr txBox="1"/>
      </xdr:nvSpPr>
      <xdr:spPr>
        <a:xfrm>
          <a:off x="68580" y="1164449"/>
          <a:ext cx="967740" cy="363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64BB86-B5DE-4246-9E16-38BD9622A1BE}" type="TxLink">
            <a:rPr lang="en-US"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rPr>
            <a:pPr marL="0" indent="0"/>
            <a:t>11,997</a:t>
          </a:fld>
          <a:endParaRPr lang="en-IN"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91440</xdr:colOff>
      <xdr:row>15</xdr:row>
      <xdr:rowOff>106680</xdr:rowOff>
    </xdr:from>
    <xdr:to>
      <xdr:col>1</xdr:col>
      <xdr:colOff>838200</xdr:colOff>
      <xdr:row>18</xdr:row>
      <xdr:rowOff>0</xdr:rowOff>
    </xdr:to>
    <xdr:sp macro="" textlink="pivots!K4">
      <xdr:nvSpPr>
        <xdr:cNvPr id="7" name="TextBox 6">
          <a:extLst>
            <a:ext uri="{FF2B5EF4-FFF2-40B4-BE49-F238E27FC236}">
              <a16:creationId xmlns:a16="http://schemas.microsoft.com/office/drawing/2014/main" id="{0C3BBABF-3146-481C-8806-6D70181A9258}"/>
            </a:ext>
          </a:extLst>
        </xdr:cNvPr>
        <xdr:cNvSpPr txBox="1"/>
      </xdr:nvSpPr>
      <xdr:spPr>
        <a:xfrm>
          <a:off x="91440" y="2849880"/>
          <a:ext cx="96774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97DF8D-F8A5-4271-8E20-C2954A6573F1}" type="TxLink">
            <a:rPr lang="en-US"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rPr>
            <a:pPr marL="0" indent="0"/>
            <a:t>2.3</a:t>
          </a:fld>
          <a:endParaRPr lang="en-IN"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99060</xdr:colOff>
      <xdr:row>12</xdr:row>
      <xdr:rowOff>82501</xdr:rowOff>
    </xdr:from>
    <xdr:to>
      <xdr:col>1</xdr:col>
      <xdr:colOff>845820</xdr:colOff>
      <xdr:row>14</xdr:row>
      <xdr:rowOff>68952</xdr:rowOff>
    </xdr:to>
    <xdr:sp macro="" textlink="pivots!L4">
      <xdr:nvSpPr>
        <xdr:cNvPr id="8" name="TextBox 7">
          <a:extLst>
            <a:ext uri="{FF2B5EF4-FFF2-40B4-BE49-F238E27FC236}">
              <a16:creationId xmlns:a16="http://schemas.microsoft.com/office/drawing/2014/main" id="{6A83A1F3-D1F1-42F2-A741-308D3563FC37}"/>
            </a:ext>
          </a:extLst>
        </xdr:cNvPr>
        <xdr:cNvSpPr txBox="1"/>
      </xdr:nvSpPr>
      <xdr:spPr>
        <a:xfrm>
          <a:off x="99060" y="2277061"/>
          <a:ext cx="967740" cy="352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56945C-0A9F-487A-9753-3244FBA6BA90}" type="TxLink">
            <a:rPr lang="en-US"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rPr>
            <a:pPr marL="0" indent="0"/>
            <a:t>4.0</a:t>
          </a:fld>
          <a:endParaRPr lang="en-IN" sz="1400" b="0" i="0" u="none" strike="noStrike">
            <a:gradFill>
              <a:gsLst>
                <a:gs pos="80000">
                  <a:schemeClr val="bg1">
                    <a:lumMod val="75000"/>
                  </a:schemeClr>
                </a:gs>
                <a:gs pos="0">
                  <a:prstClr val="white"/>
                </a:gs>
              </a:gsLst>
              <a:lin ang="54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30480</xdr:colOff>
      <xdr:row>1</xdr:row>
      <xdr:rowOff>106680</xdr:rowOff>
    </xdr:from>
    <xdr:to>
      <xdr:col>1</xdr:col>
      <xdr:colOff>952500</xdr:colOff>
      <xdr:row>3</xdr:row>
      <xdr:rowOff>129540</xdr:rowOff>
    </xdr:to>
    <xdr:sp macro="" textlink="">
      <xdr:nvSpPr>
        <xdr:cNvPr id="9" name="TextBox 8">
          <a:extLst>
            <a:ext uri="{FF2B5EF4-FFF2-40B4-BE49-F238E27FC236}">
              <a16:creationId xmlns:a16="http://schemas.microsoft.com/office/drawing/2014/main" id="{D3B9C549-AC5C-1471-3BCE-B05260D42F2C}"/>
            </a:ext>
          </a:extLst>
        </xdr:cNvPr>
        <xdr:cNvSpPr txBox="1"/>
      </xdr:nvSpPr>
      <xdr:spPr>
        <a:xfrm>
          <a:off x="30480" y="289560"/>
          <a:ext cx="11430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a:t>
          </a:r>
          <a:r>
            <a:rPr lang="en-IN" sz="1100">
              <a:solidFill>
                <a:schemeClr val="bg1"/>
              </a:solidFill>
              <a:latin typeface="+mn-lt"/>
              <a:ea typeface="+mn-ea"/>
              <a:cs typeface="+mn-cs"/>
            </a:rPr>
            <a:t>Orders</a:t>
          </a:r>
          <a:endParaRPr lang="en-IN" sz="1400">
            <a:solidFill>
              <a:schemeClr val="bg1"/>
            </a:solidFill>
            <a:latin typeface="+mn-lt"/>
            <a:ea typeface="+mn-ea"/>
            <a:cs typeface="+mn-cs"/>
          </a:endParaRPr>
        </a:p>
      </xdr:txBody>
    </xdr:sp>
    <xdr:clientData/>
  </xdr:twoCellAnchor>
  <xdr:twoCellAnchor>
    <xdr:from>
      <xdr:col>0</xdr:col>
      <xdr:colOff>30480</xdr:colOff>
      <xdr:row>8</xdr:row>
      <xdr:rowOff>11100</xdr:rowOff>
    </xdr:from>
    <xdr:to>
      <xdr:col>1</xdr:col>
      <xdr:colOff>800100</xdr:colOff>
      <xdr:row>9</xdr:row>
      <xdr:rowOff>178740</xdr:rowOff>
    </xdr:to>
    <xdr:sp macro="" textlink="">
      <xdr:nvSpPr>
        <xdr:cNvPr id="12" name="TextBox 11">
          <a:extLst>
            <a:ext uri="{FF2B5EF4-FFF2-40B4-BE49-F238E27FC236}">
              <a16:creationId xmlns:a16="http://schemas.microsoft.com/office/drawing/2014/main" id="{35FF9A09-5559-4F1D-9376-99918F3BDE39}"/>
            </a:ext>
          </a:extLst>
        </xdr:cNvPr>
        <xdr:cNvSpPr txBox="1"/>
      </xdr:nvSpPr>
      <xdr:spPr>
        <a:xfrm>
          <a:off x="30480" y="1474140"/>
          <a:ext cx="9906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ln>
                <a:noFill/>
              </a:ln>
              <a:solidFill>
                <a:schemeClr val="bg1"/>
              </a:solidFill>
              <a:latin typeface="+mn-lt"/>
              <a:ea typeface="+mn-ea"/>
              <a:cs typeface="+mn-cs"/>
            </a:rPr>
            <a:t>💰</a:t>
          </a:r>
          <a:r>
            <a:rPr lang="en-IN" sz="1100">
              <a:ln>
                <a:noFill/>
              </a:ln>
              <a:solidFill>
                <a:schemeClr val="bg1"/>
              </a:solidFill>
              <a:latin typeface="+mn-lt"/>
              <a:ea typeface="+mn-ea"/>
              <a:cs typeface="+mn-cs"/>
            </a:rPr>
            <a:t>Amount</a:t>
          </a:r>
          <a:endParaRPr lang="en-IN" sz="1400">
            <a:ln>
              <a:noFill/>
            </a:ln>
            <a:solidFill>
              <a:schemeClr val="bg1"/>
            </a:solidFill>
            <a:latin typeface="+mn-lt"/>
            <a:ea typeface="+mn-ea"/>
            <a:cs typeface="+mn-cs"/>
          </a:endParaRPr>
        </a:p>
      </xdr:txBody>
    </xdr:sp>
    <xdr:clientData/>
  </xdr:twoCellAnchor>
  <xdr:twoCellAnchor>
    <xdr:from>
      <xdr:col>0</xdr:col>
      <xdr:colOff>30480</xdr:colOff>
      <xdr:row>14</xdr:row>
      <xdr:rowOff>23044</xdr:rowOff>
    </xdr:from>
    <xdr:to>
      <xdr:col>2</xdr:col>
      <xdr:colOff>45720</xdr:colOff>
      <xdr:row>16</xdr:row>
      <xdr:rowOff>68764</xdr:rowOff>
    </xdr:to>
    <xdr:sp macro="" textlink="">
      <xdr:nvSpPr>
        <xdr:cNvPr id="13" name="TextBox 12">
          <a:extLst>
            <a:ext uri="{FF2B5EF4-FFF2-40B4-BE49-F238E27FC236}">
              <a16:creationId xmlns:a16="http://schemas.microsoft.com/office/drawing/2014/main" id="{C0E6DD29-5B87-4330-8854-BB5595969B14}"/>
            </a:ext>
          </a:extLst>
        </xdr:cNvPr>
        <xdr:cNvSpPr txBox="1"/>
      </xdr:nvSpPr>
      <xdr:spPr>
        <a:xfrm>
          <a:off x="30480" y="2583364"/>
          <a:ext cx="17449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solidFill>
                <a:schemeClr val="bg1"/>
              </a:solidFill>
            </a:rPr>
            <a:t>🗓️</a:t>
          </a:r>
          <a:r>
            <a:rPr lang="en-IN" sz="1200">
              <a:ln>
                <a:noFill/>
              </a:ln>
              <a:solidFill>
                <a:schemeClr val="bg1"/>
              </a:solidFill>
            </a:rPr>
            <a:t>Days to Deliver</a:t>
          </a:r>
          <a:endParaRPr lang="en-IN" sz="1400">
            <a:ln>
              <a:noFill/>
            </a:ln>
            <a:solidFill>
              <a:schemeClr val="bg1"/>
            </a:solidFill>
          </a:endParaRPr>
        </a:p>
      </xdr:txBody>
    </xdr:sp>
    <xdr:clientData/>
  </xdr:twoCellAnchor>
  <xdr:twoCellAnchor>
    <xdr:from>
      <xdr:col>0</xdr:col>
      <xdr:colOff>30480</xdr:colOff>
      <xdr:row>4</xdr:row>
      <xdr:rowOff>166417</xdr:rowOff>
    </xdr:from>
    <xdr:to>
      <xdr:col>1</xdr:col>
      <xdr:colOff>807720</xdr:colOff>
      <xdr:row>6</xdr:row>
      <xdr:rowOff>135937</xdr:rowOff>
    </xdr:to>
    <xdr:sp macro="" textlink="">
      <xdr:nvSpPr>
        <xdr:cNvPr id="14" name="TextBox 13">
          <a:extLst>
            <a:ext uri="{FF2B5EF4-FFF2-40B4-BE49-F238E27FC236}">
              <a16:creationId xmlns:a16="http://schemas.microsoft.com/office/drawing/2014/main" id="{55CBB856-F60C-4559-A306-EB2280AC744F}"/>
            </a:ext>
          </a:extLst>
        </xdr:cNvPr>
        <xdr:cNvSpPr txBox="1"/>
      </xdr:nvSpPr>
      <xdr:spPr>
        <a:xfrm>
          <a:off x="30480" y="897937"/>
          <a:ext cx="9982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ln>
                <a:noFill/>
              </a:ln>
              <a:solidFill>
                <a:schemeClr val="bg1"/>
              </a:solidFill>
              <a:latin typeface="+mn-lt"/>
              <a:ea typeface="+mn-ea"/>
              <a:cs typeface="+mn-cs"/>
            </a:rPr>
            <a:t>👕</a:t>
          </a:r>
          <a:r>
            <a:rPr lang="en-US" sz="1100">
              <a:solidFill>
                <a:schemeClr val="bg1"/>
              </a:solidFill>
              <a:latin typeface="+mn-lt"/>
              <a:ea typeface="+mn-ea"/>
              <a:cs typeface="+mn-cs"/>
            </a:rPr>
            <a:t>Quantity</a:t>
          </a:r>
          <a:endParaRPr lang="en-IN" sz="1400">
            <a:solidFill>
              <a:schemeClr val="bg1"/>
            </a:solidFill>
            <a:latin typeface="+mn-lt"/>
            <a:ea typeface="+mn-ea"/>
            <a:cs typeface="+mn-cs"/>
          </a:endParaRPr>
        </a:p>
      </xdr:txBody>
    </xdr:sp>
    <xdr:clientData/>
  </xdr:twoCellAnchor>
  <xdr:twoCellAnchor>
    <xdr:from>
      <xdr:col>0</xdr:col>
      <xdr:colOff>30480</xdr:colOff>
      <xdr:row>11</xdr:row>
      <xdr:rowOff>6489</xdr:rowOff>
    </xdr:from>
    <xdr:to>
      <xdr:col>1</xdr:col>
      <xdr:colOff>1104900</xdr:colOff>
      <xdr:row>12</xdr:row>
      <xdr:rowOff>158889</xdr:rowOff>
    </xdr:to>
    <xdr:sp macro="" textlink="">
      <xdr:nvSpPr>
        <xdr:cNvPr id="15" name="TextBox 14">
          <a:extLst>
            <a:ext uri="{FF2B5EF4-FFF2-40B4-BE49-F238E27FC236}">
              <a16:creationId xmlns:a16="http://schemas.microsoft.com/office/drawing/2014/main" id="{6F1AB8FD-ADA3-4525-930C-0DC5D8F1A73A}"/>
            </a:ext>
          </a:extLst>
        </xdr:cNvPr>
        <xdr:cNvSpPr txBox="1"/>
      </xdr:nvSpPr>
      <xdr:spPr>
        <a:xfrm>
          <a:off x="30480" y="2018169"/>
          <a:ext cx="1295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ln>
                <a:noFill/>
              </a:ln>
              <a:solidFill>
                <a:schemeClr val="bg1"/>
              </a:solidFill>
              <a:latin typeface="+mn-lt"/>
              <a:ea typeface="+mn-ea"/>
              <a:cs typeface="+mn-cs"/>
            </a:rPr>
            <a:t>⭐</a:t>
          </a:r>
          <a:r>
            <a:rPr lang="en-US" sz="1100">
              <a:ln>
                <a:noFill/>
              </a:ln>
              <a:solidFill>
                <a:schemeClr val="bg1"/>
              </a:solidFill>
              <a:latin typeface="+mn-lt"/>
              <a:ea typeface="+mn-ea"/>
              <a:cs typeface="+mn-cs"/>
            </a:rPr>
            <a:t>Avg. Rating</a:t>
          </a:r>
          <a:endParaRPr lang="en-IN" sz="1400">
            <a:ln>
              <a:noFill/>
            </a:ln>
            <a:solidFill>
              <a:schemeClr val="bg1"/>
            </a:solidFill>
            <a:latin typeface="+mn-lt"/>
            <a:ea typeface="+mn-ea"/>
            <a:cs typeface="+mn-cs"/>
          </a:endParaRPr>
        </a:p>
      </xdr:txBody>
    </xdr:sp>
    <xdr:clientData/>
  </xdr:twoCellAnchor>
  <xdr:twoCellAnchor>
    <xdr:from>
      <xdr:col>3</xdr:col>
      <xdr:colOff>274320</xdr:colOff>
      <xdr:row>1</xdr:row>
      <xdr:rowOff>0</xdr:rowOff>
    </xdr:from>
    <xdr:to>
      <xdr:col>9</xdr:col>
      <xdr:colOff>350520</xdr:colOff>
      <xdr:row>11</xdr:row>
      <xdr:rowOff>0</xdr:rowOff>
    </xdr:to>
    <xdr:graphicFrame macro="">
      <xdr:nvGraphicFramePr>
        <xdr:cNvPr id="16" name="Chart 15">
          <a:extLst>
            <a:ext uri="{FF2B5EF4-FFF2-40B4-BE49-F238E27FC236}">
              <a16:creationId xmlns:a16="http://schemas.microsoft.com/office/drawing/2014/main" id="{EB03C9B4-2B40-43F1-AFD2-FA70AE6E3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297179</xdr:colOff>
          <xdr:row>3</xdr:row>
          <xdr:rowOff>44775</xdr:rowOff>
        </xdr:from>
        <xdr:to>
          <xdr:col>15</xdr:col>
          <xdr:colOff>0</xdr:colOff>
          <xdr:row>10</xdr:row>
          <xdr:rowOff>30480</xdr:rowOff>
        </xdr:to>
        <xdr:pic>
          <xdr:nvPicPr>
            <xdr:cNvPr id="24" name="Picture 23">
              <a:extLst>
                <a:ext uri="{FF2B5EF4-FFF2-40B4-BE49-F238E27FC236}">
                  <a16:creationId xmlns:a16="http://schemas.microsoft.com/office/drawing/2014/main" id="{7291F581-3DE4-E8D8-A6A7-58DA82145772}"/>
                </a:ext>
              </a:extLst>
            </xdr:cNvPr>
            <xdr:cNvPicPr>
              <a:picLocks noChangeAspect="1" noChangeArrowheads="1"/>
              <a:extLst>
                <a:ext uri="{84589F7E-364E-4C9E-8A38-B11213B215E9}">
                  <a14:cameraTool cellRange="Sheet5!$H$4:$L$9" spid="_x0000_s2189"/>
                </a:ext>
              </a:extLst>
            </xdr:cNvPicPr>
          </xdr:nvPicPr>
          <xdr:blipFill>
            <a:blip xmlns:r="http://schemas.openxmlformats.org/officeDocument/2006/relationships" r:embed="rId2"/>
            <a:srcRect/>
            <a:stretch>
              <a:fillRect/>
            </a:stretch>
          </xdr:blipFill>
          <xdr:spPr bwMode="auto">
            <a:xfrm>
              <a:off x="6515099" y="593415"/>
              <a:ext cx="2750821" cy="12658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0</xdr:colOff>
      <xdr:row>0</xdr:row>
      <xdr:rowOff>152400</xdr:rowOff>
    </xdr:from>
    <xdr:to>
      <xdr:col>22</xdr:col>
      <xdr:colOff>350520</xdr:colOff>
      <xdr:row>10</xdr:row>
      <xdr:rowOff>167640</xdr:rowOff>
    </xdr:to>
    <xdr:graphicFrame macro="">
      <xdr:nvGraphicFramePr>
        <xdr:cNvPr id="26" name="Chart 25">
          <a:extLst>
            <a:ext uri="{FF2B5EF4-FFF2-40B4-BE49-F238E27FC236}">
              <a16:creationId xmlns:a16="http://schemas.microsoft.com/office/drawing/2014/main" id="{9AE96A07-B462-491F-BAA9-AAF2E6684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259080</xdr:colOff>
      <xdr:row>11</xdr:row>
      <xdr:rowOff>68580</xdr:rowOff>
    </xdr:from>
    <xdr:to>
      <xdr:col>9</xdr:col>
      <xdr:colOff>373380</xdr:colOff>
      <xdr:row>27</xdr:row>
      <xdr:rowOff>38100</xdr:rowOff>
    </xdr:to>
    <xdr:graphicFrame macro="">
      <xdr:nvGraphicFramePr>
        <xdr:cNvPr id="28" name="Chart 27">
          <a:extLst>
            <a:ext uri="{FF2B5EF4-FFF2-40B4-BE49-F238E27FC236}">
              <a16:creationId xmlns:a16="http://schemas.microsoft.com/office/drawing/2014/main" id="{3E39CFA8-AC38-45EF-8FDC-F2D05FB20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586740</xdr:colOff>
      <xdr:row>18</xdr:row>
      <xdr:rowOff>114300</xdr:rowOff>
    </xdr:from>
    <xdr:to>
      <xdr:col>7</xdr:col>
      <xdr:colOff>388620</xdr:colOff>
      <xdr:row>26</xdr:row>
      <xdr:rowOff>0</xdr:rowOff>
    </xdr:to>
    <xdr:graphicFrame macro="">
      <xdr:nvGraphicFramePr>
        <xdr:cNvPr id="29" name="Chart 28">
          <a:extLst>
            <a:ext uri="{FF2B5EF4-FFF2-40B4-BE49-F238E27FC236}">
              <a16:creationId xmlns:a16="http://schemas.microsoft.com/office/drawing/2014/main" id="{5C48CB89-1E46-4D55-96FF-80EE422CE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472440</xdr:colOff>
      <xdr:row>11</xdr:row>
      <xdr:rowOff>76200</xdr:rowOff>
    </xdr:from>
    <xdr:to>
      <xdr:col>15</xdr:col>
      <xdr:colOff>502920</xdr:colOff>
      <xdr:row>27</xdr:row>
      <xdr:rowOff>68580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472C5AE4-6645-4CBA-BC0A-7E63583EC1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080760" y="2087880"/>
              <a:ext cx="3688080" cy="2918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502920</xdr:colOff>
      <xdr:row>14</xdr:row>
      <xdr:rowOff>175260</xdr:rowOff>
    </xdr:from>
    <xdr:to>
      <xdr:col>15</xdr:col>
      <xdr:colOff>198120</xdr:colOff>
      <xdr:row>21</xdr:row>
      <xdr:rowOff>106680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EA43D0B0-1F62-4285-838C-AFCD562CF6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549640" y="2735580"/>
              <a:ext cx="914400" cy="1211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7620</xdr:colOff>
      <xdr:row>11</xdr:row>
      <xdr:rowOff>76200</xdr:rowOff>
    </xdr:from>
    <xdr:to>
      <xdr:col>22</xdr:col>
      <xdr:colOff>381000</xdr:colOff>
      <xdr:row>18</xdr:row>
      <xdr:rowOff>175260</xdr:rowOff>
    </xdr:to>
    <xdr:graphicFrame macro="">
      <xdr:nvGraphicFramePr>
        <xdr:cNvPr id="32" name="Chart 31">
          <a:extLst>
            <a:ext uri="{FF2B5EF4-FFF2-40B4-BE49-F238E27FC236}">
              <a16:creationId xmlns:a16="http://schemas.microsoft.com/office/drawing/2014/main" id="{72CDF7E8-D166-4F57-AE46-A11017F44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7620</xdr:colOff>
      <xdr:row>19</xdr:row>
      <xdr:rowOff>68580</xdr:rowOff>
    </xdr:from>
    <xdr:to>
      <xdr:col>22</xdr:col>
      <xdr:colOff>373380</xdr:colOff>
      <xdr:row>28</xdr:row>
      <xdr:rowOff>7620</xdr:rowOff>
    </xdr:to>
    <xdr:graphicFrame macro="">
      <xdr:nvGraphicFramePr>
        <xdr:cNvPr id="33" name="Chart 32">
          <a:extLst>
            <a:ext uri="{FF2B5EF4-FFF2-40B4-BE49-F238E27FC236}">
              <a16:creationId xmlns:a16="http://schemas.microsoft.com/office/drawing/2014/main" id="{4097DCA0-7F6C-4622-9AC0-EB262E599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22</xdr:row>
      <xdr:rowOff>45720</xdr:rowOff>
    </xdr:from>
    <xdr:to>
      <xdr:col>2</xdr:col>
      <xdr:colOff>129540</xdr:colOff>
      <xdr:row>28</xdr:row>
      <xdr:rowOff>15240</xdr:rowOff>
    </xdr:to>
    <mc:AlternateContent xmlns:mc="http://schemas.openxmlformats.org/markup-compatibility/2006" xmlns:a14="http://schemas.microsoft.com/office/drawing/2010/main">
      <mc:Choice Requires="a14">
        <xdr:graphicFrame macro="">
          <xdr:nvGraphicFramePr>
            <xdr:cNvPr id="34" name="Gender Value">
              <a:extLst>
                <a:ext uri="{FF2B5EF4-FFF2-40B4-BE49-F238E27FC236}">
                  <a16:creationId xmlns:a16="http://schemas.microsoft.com/office/drawing/2014/main" id="{A584FCB1-7F8B-4D00-881F-A70CB0F48EC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38100" y="4069080"/>
              <a:ext cx="182118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17</xdr:row>
      <xdr:rowOff>15240</xdr:rowOff>
    </xdr:from>
    <xdr:to>
      <xdr:col>2</xdr:col>
      <xdr:colOff>160020</xdr:colOff>
      <xdr:row>21</xdr:row>
      <xdr:rowOff>175260</xdr:rowOff>
    </xdr:to>
    <mc:AlternateContent xmlns:mc="http://schemas.openxmlformats.org/markup-compatibility/2006" xmlns:a14="http://schemas.microsoft.com/office/drawing/2010/main">
      <mc:Choice Requires="a14">
        <xdr:graphicFrame macro="">
          <xdr:nvGraphicFramePr>
            <xdr:cNvPr id="35" name="Order Mode">
              <a:extLst>
                <a:ext uri="{FF2B5EF4-FFF2-40B4-BE49-F238E27FC236}">
                  <a16:creationId xmlns:a16="http://schemas.microsoft.com/office/drawing/2014/main" id="{EA76EF76-6E8A-4C95-AEC2-4709CD7F453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60960" y="3124200"/>
              <a:ext cx="18288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472440</xdr:colOff>
      <xdr:row>0</xdr:row>
      <xdr:rowOff>167640</xdr:rowOff>
    </xdr:from>
    <xdr:to>
      <xdr:col>15</xdr:col>
      <xdr:colOff>472440</xdr:colOff>
      <xdr:row>10</xdr:row>
      <xdr:rowOff>167640</xdr:rowOff>
    </xdr:to>
    <xdr:sp macro="" textlink="">
      <xdr:nvSpPr>
        <xdr:cNvPr id="25" name="Rectangle 24">
          <a:extLst>
            <a:ext uri="{FF2B5EF4-FFF2-40B4-BE49-F238E27FC236}">
              <a16:creationId xmlns:a16="http://schemas.microsoft.com/office/drawing/2014/main" id="{5700769E-DBF6-28AF-1245-EF5D388206BD}"/>
            </a:ext>
          </a:extLst>
        </xdr:cNvPr>
        <xdr:cNvSpPr/>
      </xdr:nvSpPr>
      <xdr:spPr>
        <a:xfrm>
          <a:off x="6080760" y="167640"/>
          <a:ext cx="3657600" cy="1828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ysClr val="windowText" lastClr="000000"/>
              </a:solidFill>
              <a:effectLst>
                <a:outerShdw blurRad="50800" dist="38100" dir="5400000" algn="t" rotWithShape="0">
                  <a:schemeClr val="bg1"/>
                </a:outerShdw>
              </a:effectLst>
            </a:rPr>
            <a:t>How they like to buy</a:t>
          </a:r>
        </a:p>
      </xdr:txBody>
    </xdr:sp>
    <xdr:clientData/>
  </xdr:twoCellAnchor>
  <mc:AlternateContent xmlns:mc="http://schemas.openxmlformats.org/markup-compatibility/2006">
    <mc:Choice xmlns:a14="http://schemas.microsoft.com/office/drawing/2010/main" Requires="a14">
      <xdr:twoCellAnchor editAs="oneCell">
        <xdr:from>
          <xdr:col>10</xdr:col>
          <xdr:colOff>297180</xdr:colOff>
          <xdr:row>3</xdr:row>
          <xdr:rowOff>45720</xdr:rowOff>
        </xdr:from>
        <xdr:to>
          <xdr:col>15</xdr:col>
          <xdr:colOff>0</xdr:colOff>
          <xdr:row>10</xdr:row>
          <xdr:rowOff>30480</xdr:rowOff>
        </xdr:to>
        <xdr:pic>
          <xdr:nvPicPr>
            <xdr:cNvPr id="2160" name="Picture 23">
              <a:extLst>
                <a:ext uri="{FF2B5EF4-FFF2-40B4-BE49-F238E27FC236}">
                  <a16:creationId xmlns:a16="http://schemas.microsoft.com/office/drawing/2014/main" id="{7A117A85-B687-BBE2-B6DB-A928BB0A00BF}"/>
                </a:ext>
              </a:extLst>
            </xdr:cNvPr>
            <xdr:cNvPicPr>
              <a:picLocks noChangeAspect="1" noChangeArrowheads="1"/>
              <a:extLst>
                <a:ext uri="{84589F7E-364E-4C9E-8A38-B11213B215E9}">
                  <a14:cameraTool cellRange="Sheet5!$H$4:$L$9" spid="_x0000_s2190"/>
                </a:ext>
              </a:extLst>
            </xdr:cNvPicPr>
          </xdr:nvPicPr>
          <xdr:blipFill>
            <a:blip xmlns:r="http://schemas.openxmlformats.org/officeDocument/2006/relationships" r:embed="rId2"/>
            <a:srcRect/>
            <a:stretch>
              <a:fillRect/>
            </a:stretch>
          </xdr:blipFill>
          <xdr:spPr bwMode="auto">
            <a:xfrm>
              <a:off x="6515100" y="594360"/>
              <a:ext cx="2750820" cy="12649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2.391865972226" createdVersion="8" refreshedVersion="8" minRefreshableVersion="3" recordCount="2400" xr:uid="{AADAC827-F0D7-4118-A312-F2C54E61918B}">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797643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5020B-94AB-408A-848C-20CDC447DCC8}" name="pvt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C8076-6CC9-40B7-B840-3E07C0360A3A}"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Days to Deliver" fld="12" subtotal="average" baseField="0" baseItem="0"/>
    <dataField name="Average of Rating C"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96A622-109B-451C-86FC-EC576953CC26}" name="pv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68869B-03D6-4697-8DEC-8F35A16A730E}"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DBEC9C-552B-4243-ADA4-D11209B22D87}"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3:N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9">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4" count="1" selected="0">
            <x v="0"/>
          </reference>
        </references>
      </pivotArea>
    </chartFormat>
    <chartFormat chart="13" format="8">
      <pivotArea type="data" outline="0" fieldPosition="0">
        <references count="2">
          <reference field="4294967294" count="1" selected="0">
            <x v="0"/>
          </reference>
          <reference field="14" count="1" selected="0">
            <x v="1"/>
          </reference>
        </references>
      </pivotArea>
    </chartFormat>
    <chartFormat chart="13" format="9">
      <pivotArea type="data" outline="0" fieldPosition="0">
        <references count="2">
          <reference field="4294967294" count="1" selected="0">
            <x v="0"/>
          </reference>
          <reference field="14" count="1" selected="0">
            <x v="2"/>
          </reference>
        </references>
      </pivotArea>
    </chartFormat>
    <chartFormat chart="13"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065B9C-DBCC-498B-B9F8-3D3738EBB5F7}"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E52C71-4CD7-49F9-BC4D-0C56FD4EA28B}" name="pvtCoun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2" firstHeaderRow="0" firstDataRow="1" firstDataCol="2"/>
  <pivotFields count="18">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dataField="1" compact="0" outline="0" subtotalTop="0" showAll="0" insertBlankRow="1"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dataField="1" compact="0" outline="0" subtotalTop="0" showAll="0" insertBlankRow="1" defaultSubtotal="0">
      <extLst>
        <ext xmlns:x14="http://schemas.microsoft.com/office/spreadsheetml/2009/9/main" uri="{2946ED86-A175-432a-8AC1-64E0C546D7DE}">
          <x14:pivotField fillDownLabels="1"/>
        </ext>
      </extLst>
    </pivotField>
    <pivotField compact="0" numFmtId="15" outline="0" subtotalTop="0" showAll="0" insertBlankRow="1"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5">
        <item x="0"/>
        <item x="3"/>
        <item x="4"/>
        <item x="2"/>
        <item x="1"/>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axis="axisRow" compact="0" outline="0" subtotalTop="0" showAll="0" insertBlankRow="1" defaultSubtotal="0">
      <items count="1">
        <item x="0"/>
      </items>
      <extLst>
        <ext xmlns:x14="http://schemas.microsoft.com/office/spreadsheetml/2009/9/main" uri="{2946ED86-A175-432a-8AC1-64E0C546D7DE}">
          <x14:pivotField fillDownLabels="1"/>
        </ext>
      </extLst>
    </pivotField>
    <pivotField axis="axisRow" compact="0" outline="0" subtotalTop="0" showAll="0" insertBlankRow="1"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extLst>
        <ext xmlns:x14="http://schemas.microsoft.com/office/spreadsheetml/2009/9/main" uri="{2946ED86-A175-432a-8AC1-64E0C546D7DE}">
          <x14:pivotField fillDownLabels="1"/>
        </ext>
      </extLst>
    </pivotField>
    <pivotField compact="0" outline="0" subtotalTop="0" showAll="0" insertBlankRow="1" defaultSubtotal="0">
      <items count="4">
        <item x="2"/>
        <item x="1"/>
        <item x="3"/>
        <item x="0"/>
      </items>
      <extLst>
        <ext xmlns:x14="http://schemas.microsoft.com/office/spreadsheetml/2009/9/main" uri="{2946ED86-A175-432a-8AC1-64E0C546D7DE}">
          <x14:pivotField fillDownLabels="1"/>
        </ext>
      </extLst>
    </pivotField>
    <pivotField compact="0" outline="0" subtotalTop="0" showAll="0" insertBlankRow="1"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insertBlankRow="1"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insertBlankRow="1"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blank">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AFE197-7799-4844-AA7D-EF011FA43A00}" name="pvtDaysOf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36F09B-611E-461E-A6B0-FE94FA16CD94}"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20" format="13" series="1">
      <pivotArea type="data" outline="0" fieldPosition="0">
        <references count="2">
          <reference field="4294967294" count="1" selected="0">
            <x v="0"/>
          </reference>
          <reference field="9" count="1" selected="0">
            <x v="0"/>
          </reference>
        </references>
      </pivotArea>
    </chartFormat>
    <chartFormat chart="20" format="14" series="1">
      <pivotArea type="data" outline="0" fieldPosition="0">
        <references count="2">
          <reference field="4294967294" count="1" selected="0">
            <x v="0"/>
          </reference>
          <reference field="9" count="1" selected="0">
            <x v="1"/>
          </reference>
        </references>
      </pivotArea>
    </chartFormat>
    <chartFormat chart="20" format="15" series="1">
      <pivotArea type="data" outline="0" fieldPosition="0">
        <references count="2">
          <reference field="4294967294" count="1" selected="0">
            <x v="0"/>
          </reference>
          <reference field="9" count="1" selected="0">
            <x v="2"/>
          </reference>
        </references>
      </pivotArea>
    </chartFormat>
    <chartFormat chart="20" format="16" series="1">
      <pivotArea type="data" outline="0" fieldPosition="0">
        <references count="2">
          <reference field="4294967294" count="1" selected="0">
            <x v="0"/>
          </reference>
          <reference field="9" count="1" selected="0">
            <x v="3"/>
          </reference>
        </references>
      </pivotArea>
    </chartFormat>
    <chartFormat chart="20"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BC28A8A-EA32-4F7A-A514-47A30ABB1246}" sourceName="Gender Value">
  <pivotTables>
    <pivotTable tabId="10" name="pvtRating"/>
    <pivotTable tabId="4" name="pvtSummary"/>
    <pivotTable tabId="4" name="pvtTrends"/>
    <pivotTable tabId="6" name="pvtQty"/>
    <pivotTable tabId="8" name="pvtCounty"/>
    <pivotTable tabId="9" name="pvtDaysOfDeliver"/>
  </pivotTables>
  <data>
    <tabular pivotCacheId="179764316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5401B85-040A-48E4-A51E-875EB1F2806B}" sourceName="Order Mode">
  <pivotTables>
    <pivotTable tabId="10" name="pvtRating"/>
    <pivotTable tabId="4" name="pvtSummary"/>
    <pivotTable tabId="4" name="pvtTrends"/>
    <pivotTable tabId="6" name="pvtQty"/>
    <pivotTable tabId="7" name="gender"/>
    <pivotTable tabId="8" name="pvtCounty"/>
    <pivotTable tabId="9" name="pvtDaysOfDeliver"/>
    <pivotTable tabId="7" name="pvtProduct"/>
  </pivotTables>
  <data>
    <tabular pivotCacheId="1797643165">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7D3950EB-4900-442B-9B76-B2FBB3DC7044}" cache="Slicer_Gender_Value" caption="Gender Value" rowHeight="247650"/>
  <slicer name="Order Mode" xr10:uid="{C12E7FB3-AF21-47E5-AC0A-ECC3B5C9F8AE}"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051CA8-B4B2-477C-9A0A-B5FFD95D1DCF}" name="orders" displayName="orders" ref="A1:O2401" totalsRowShown="0">
  <tableColumns count="15">
    <tableColumn id="1" xr3:uid="{22BB2164-6FD7-4044-B074-A6F0173C2244}" name="TX ID"/>
    <tableColumn id="2" xr3:uid="{92C2D30B-9FA9-4297-AF43-0BE4AB48AA5E}" name="Product"/>
    <tableColumn id="3" xr3:uid="{4B2A6957-C116-4810-94DB-E9F8B96B9D6C}" name="Quantity"/>
    <tableColumn id="4" xr3:uid="{BF2D33E6-C599-44D4-8769-BEC83BB5D725}" name="Unit Price"/>
    <tableColumn id="5" xr3:uid="{75F23ADD-68DB-45C5-B30F-843AD6D95B04}" name="Amount"/>
    <tableColumn id="6" xr3:uid="{41DA99C5-6F8C-451D-8F06-5A1848CF6B3F}" name="Order Date" dataDxfId="4"/>
    <tableColumn id="7" xr3:uid="{31B99865-D301-48A1-9C16-BE311C7C6647}" name="Ship Date" dataDxfId="3"/>
    <tableColumn id="8" xr3:uid="{74886B13-B2E7-44C3-8FCB-FBFF7438F7FB}" name="Customer Gender"/>
    <tableColumn id="9" xr3:uid="{42A3FFB8-F218-4DEF-AB86-915F769D8CA9}" name="Order Mode"/>
    <tableColumn id="10" xr3:uid="{6A9AAC7D-5744-4D5D-BE56-97DC5473DA0E}" name="Rating C"/>
    <tableColumn id="15" xr3:uid="{E58F44C2-EABB-4227-B934-7B5DC9450E9E}" name="State"/>
    <tableColumn id="14" xr3:uid="{A6E76811-53F5-48F0-B4A5-4E5DC830C9BB}" name="County"/>
    <tableColumn id="11" xr3:uid="{402360D4-A1BD-46AD-8BAA-26078819760C}" name="Days to Deliver" dataDxfId="2">
      <calculatedColumnFormula>orders[[#This Row],[Ship Date]]-orders[[#This Row],[Order Date]]</calculatedColumnFormula>
    </tableColumn>
    <tableColumn id="12" xr3:uid="{BC800ECC-30BD-47DC-B477-3FFE16AEEC23}" name="Weeknum" dataDxfId="1">
      <calculatedColumnFormula>WEEKNUM(orders[[#This Row],[Order Date]])</calculatedColumnFormula>
    </tableColumn>
    <tableColumn id="13" xr3:uid="{D9884774-AFDE-409B-9CCA-27E7A2DE6E3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F1B9-7D13-45FD-9E10-0A322B42E5F7}">
  <dimension ref="A2:L25"/>
  <sheetViews>
    <sheetView workbookViewId="0">
      <selection activeCell="B11" sqref="B11"/>
    </sheetView>
  </sheetViews>
  <sheetFormatPr defaultRowHeight="14.4" x14ac:dyDescent="0.3"/>
  <cols>
    <col min="1" max="1" width="12.44140625" bestFit="1" customWidth="1"/>
    <col min="2" max="2" width="14.21875" bestFit="1" customWidth="1"/>
    <col min="3" max="3" width="13.5546875" bestFit="1" customWidth="1"/>
    <col min="4" max="4" width="22.33203125" bestFit="1" customWidth="1"/>
    <col min="5" max="5" width="16.6640625" bestFit="1" customWidth="1"/>
  </cols>
  <sheetData>
    <row r="2" spans="1:12" x14ac:dyDescent="0.3">
      <c r="H2" t="s">
        <v>2523</v>
      </c>
    </row>
    <row r="3" spans="1:12" x14ac:dyDescent="0.3">
      <c r="A3" t="s">
        <v>2518</v>
      </c>
      <c r="B3" t="s">
        <v>2519</v>
      </c>
      <c r="C3" t="s">
        <v>2520</v>
      </c>
      <c r="D3" t="s">
        <v>2521</v>
      </c>
      <c r="E3" t="s">
        <v>2522</v>
      </c>
      <c r="H3" t="s">
        <v>2524</v>
      </c>
      <c r="I3" t="s">
        <v>2525</v>
      </c>
      <c r="J3" t="s">
        <v>4</v>
      </c>
      <c r="K3" t="s">
        <v>2526</v>
      </c>
      <c r="L3" t="s">
        <v>2507</v>
      </c>
    </row>
    <row r="4" spans="1:12" x14ac:dyDescent="0.3">
      <c r="A4">
        <v>2400</v>
      </c>
      <c r="B4">
        <v>11997</v>
      </c>
      <c r="C4">
        <v>649019.80000000144</v>
      </c>
      <c r="D4">
        <v>2.3424999999999998</v>
      </c>
      <c r="E4">
        <v>3.9620833333333332</v>
      </c>
      <c r="H4" t="str">
        <f>TEXT(A4, "#,##")</f>
        <v>2,400</v>
      </c>
      <c r="I4" t="str">
        <f t="shared" ref="I4" si="0">TEXT(B4, "#,##")</f>
        <v>11,997</v>
      </c>
      <c r="J4" t="str">
        <f>TEXT(C4, "$#, ##,.Ok")</f>
        <v>$6 49.Ok</v>
      </c>
      <c r="K4" t="str">
        <f>TEXT(D4, "0.0")</f>
        <v>2.3</v>
      </c>
      <c r="L4" t="str">
        <f>TEXT(E4, "0.0")</f>
        <v>4.0</v>
      </c>
    </row>
    <row r="9" spans="1:12" x14ac:dyDescent="0.3">
      <c r="A9" t="s">
        <v>2527</v>
      </c>
    </row>
    <row r="11" spans="1:12" x14ac:dyDescent="0.3">
      <c r="A11" s="5" t="s">
        <v>2528</v>
      </c>
      <c r="B11" t="s">
        <v>2519</v>
      </c>
      <c r="C11" t="s">
        <v>2520</v>
      </c>
    </row>
    <row r="12" spans="1:12" x14ac:dyDescent="0.3">
      <c r="A12" s="6">
        <v>1</v>
      </c>
      <c r="B12">
        <v>546</v>
      </c>
      <c r="C12" s="7">
        <v>32413.300000000003</v>
      </c>
    </row>
    <row r="13" spans="1:12" x14ac:dyDescent="0.3">
      <c r="A13" s="6">
        <v>2</v>
      </c>
      <c r="B13">
        <v>905</v>
      </c>
      <c r="C13" s="7">
        <v>49562.999999999993</v>
      </c>
    </row>
    <row r="14" spans="1:12" x14ac:dyDescent="0.3">
      <c r="A14" s="6">
        <v>3</v>
      </c>
      <c r="B14">
        <v>796</v>
      </c>
      <c r="C14" s="7">
        <v>41700.400000000016</v>
      </c>
    </row>
    <row r="15" spans="1:12" x14ac:dyDescent="0.3">
      <c r="A15" s="6">
        <v>4</v>
      </c>
      <c r="B15">
        <v>913</v>
      </c>
      <c r="C15" s="7">
        <v>46782.599999999984</v>
      </c>
    </row>
    <row r="16" spans="1:12" x14ac:dyDescent="0.3">
      <c r="A16" s="6">
        <v>5</v>
      </c>
      <c r="B16">
        <v>844</v>
      </c>
      <c r="C16" s="7">
        <v>42676.100000000006</v>
      </c>
    </row>
    <row r="17" spans="1:3" x14ac:dyDescent="0.3">
      <c r="A17" s="6">
        <v>6</v>
      </c>
      <c r="B17">
        <v>1202</v>
      </c>
      <c r="C17" s="7">
        <v>62910.7</v>
      </c>
    </row>
    <row r="18" spans="1:3" x14ac:dyDescent="0.3">
      <c r="A18" s="6">
        <v>7</v>
      </c>
      <c r="B18">
        <v>935</v>
      </c>
      <c r="C18" s="7">
        <v>50332.200000000004</v>
      </c>
    </row>
    <row r="19" spans="1:3" x14ac:dyDescent="0.3">
      <c r="A19" s="6">
        <v>8</v>
      </c>
      <c r="B19">
        <v>1128</v>
      </c>
      <c r="C19" s="7">
        <v>58760.599999999977</v>
      </c>
    </row>
    <row r="20" spans="1:3" x14ac:dyDescent="0.3">
      <c r="A20" s="6">
        <v>9</v>
      </c>
      <c r="B20">
        <v>1007</v>
      </c>
      <c r="C20" s="7">
        <v>52017.299999999996</v>
      </c>
    </row>
    <row r="21" spans="1:3" x14ac:dyDescent="0.3">
      <c r="A21" s="6">
        <v>10</v>
      </c>
      <c r="B21">
        <v>1128</v>
      </c>
      <c r="C21" s="7">
        <v>64915.700000000033</v>
      </c>
    </row>
    <row r="22" spans="1:3" x14ac:dyDescent="0.3">
      <c r="A22" s="6">
        <v>11</v>
      </c>
      <c r="B22">
        <v>861</v>
      </c>
      <c r="C22" s="7">
        <v>45943.80000000001</v>
      </c>
    </row>
    <row r="23" spans="1:3" x14ac:dyDescent="0.3">
      <c r="A23" s="6">
        <v>12</v>
      </c>
      <c r="B23">
        <v>944</v>
      </c>
      <c r="C23" s="7">
        <v>55077.900000000031</v>
      </c>
    </row>
    <row r="24" spans="1:3" x14ac:dyDescent="0.3">
      <c r="A24" s="6">
        <v>13</v>
      </c>
      <c r="B24">
        <v>788</v>
      </c>
      <c r="C24" s="7">
        <v>45926.19999999999</v>
      </c>
    </row>
    <row r="25" spans="1:3" x14ac:dyDescent="0.3">
      <c r="A25" s="6" t="s">
        <v>2529</v>
      </c>
      <c r="B25">
        <v>11997</v>
      </c>
      <c r="C25" s="7">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85879-1B3D-4EC1-AB91-AE3CE425118A}">
  <dimension ref="A2:L10"/>
  <sheetViews>
    <sheetView showGridLines="0" workbookViewId="0">
      <selection activeCell="H6" sqref="H6"/>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44140625" bestFit="1" customWidth="1"/>
    <col min="9" max="9" width="7" bestFit="1" customWidth="1"/>
    <col min="10" max="10" width="6.109375" bestFit="1" customWidth="1"/>
    <col min="11" max="11" width="5.5546875" bestFit="1" customWidth="1"/>
    <col min="12" max="12" width="8.44140625" bestFit="1" customWidth="1"/>
  </cols>
  <sheetData>
    <row r="2" spans="1:12" x14ac:dyDescent="0.3">
      <c r="H2" t="s">
        <v>2535</v>
      </c>
    </row>
    <row r="3" spans="1:12" x14ac:dyDescent="0.3">
      <c r="A3" s="5" t="s">
        <v>2520</v>
      </c>
      <c r="B3" s="5" t="s">
        <v>2530</v>
      </c>
    </row>
    <row r="4" spans="1:12" ht="15" thickBot="1" x14ac:dyDescent="0.35">
      <c r="A4" s="5" t="s">
        <v>2528</v>
      </c>
      <c r="B4" t="s">
        <v>2531</v>
      </c>
      <c r="C4" t="s">
        <v>2532</v>
      </c>
      <c r="D4" t="s">
        <v>2533</v>
      </c>
      <c r="E4" t="s">
        <v>2534</v>
      </c>
      <c r="F4" t="s">
        <v>2529</v>
      </c>
      <c r="I4" t="str">
        <f t="shared" ref="I4:L6" si="0">B4</f>
        <v>Female</v>
      </c>
      <c r="J4" t="str">
        <f t="shared" si="0"/>
        <v>Male</v>
      </c>
      <c r="K4" t="str">
        <f t="shared" si="0"/>
        <v>Other</v>
      </c>
      <c r="L4" t="str">
        <f t="shared" si="0"/>
        <v>Unknown</v>
      </c>
    </row>
    <row r="5" spans="1:12" ht="15.6" thickTop="1" thickBot="1" x14ac:dyDescent="0.35">
      <c r="A5" s="6" t="s">
        <v>18</v>
      </c>
      <c r="B5" s="8">
        <v>0.18961825201634841</v>
      </c>
      <c r="C5" s="8">
        <v>0.12262322351336576</v>
      </c>
      <c r="D5" s="8">
        <v>1.060537752469185E-2</v>
      </c>
      <c r="E5" s="8">
        <v>3.0599220547662797E-2</v>
      </c>
      <c r="F5" s="8">
        <v>0.35344607360206881</v>
      </c>
      <c r="H5" t="str">
        <f>A5</f>
        <v>App</v>
      </c>
      <c r="I5" s="9">
        <f t="shared" si="0"/>
        <v>0.18961825201634841</v>
      </c>
      <c r="J5" s="9">
        <f t="shared" si="0"/>
        <v>0.12262322351336576</v>
      </c>
      <c r="K5" s="9">
        <f t="shared" si="0"/>
        <v>1.060537752469185E-2</v>
      </c>
      <c r="L5" s="9">
        <f t="shared" si="0"/>
        <v>3.0599220547662797E-2</v>
      </c>
    </row>
    <row r="6" spans="1:12" ht="15.6" thickTop="1" thickBot="1" x14ac:dyDescent="0.35">
      <c r="A6" s="6" t="s">
        <v>51</v>
      </c>
      <c r="B6" s="8">
        <v>5.0283982091147303E-2</v>
      </c>
      <c r="C6" s="8">
        <v>4.3060781812819873E-2</v>
      </c>
      <c r="D6" s="8">
        <v>1.5320025675641944E-3</v>
      </c>
      <c r="E6" s="8">
        <v>1.7794988689097006E-2</v>
      </c>
      <c r="F6" s="8">
        <v>0.11267175516062837</v>
      </c>
      <c r="H6" t="str">
        <f>A6</f>
        <v>Instagram</v>
      </c>
      <c r="I6" s="9">
        <f t="shared" si="0"/>
        <v>5.0283982091147303E-2</v>
      </c>
      <c r="J6" s="9">
        <f t="shared" si="0"/>
        <v>4.3060781812819873E-2</v>
      </c>
      <c r="K6" s="9">
        <f t="shared" si="0"/>
        <v>1.5320025675641944E-3</v>
      </c>
      <c r="L6" s="9">
        <f t="shared" si="0"/>
        <v>1.7794988689097006E-2</v>
      </c>
    </row>
    <row r="7" spans="1:12" ht="15.6" thickTop="1" thickBot="1" x14ac:dyDescent="0.35">
      <c r="A7" s="6" t="s">
        <v>70</v>
      </c>
      <c r="B7" s="8">
        <v>6.3496059750411282E-2</v>
      </c>
      <c r="C7" s="8">
        <v>4.6071629863988765E-2</v>
      </c>
      <c r="D7" s="8">
        <v>2.306247051322625E-3</v>
      </c>
      <c r="E7" s="8">
        <v>3.8927934093844286E-3</v>
      </c>
      <c r="F7" s="8">
        <v>0.11576673007510711</v>
      </c>
      <c r="H7" t="str">
        <f>A7</f>
        <v>Partner App</v>
      </c>
      <c r="I7" s="9">
        <f t="shared" ref="I7:J9" si="1">B7</f>
        <v>6.3496059750411282E-2</v>
      </c>
      <c r="J7" s="9">
        <f t="shared" si="1"/>
        <v>4.6071629863988765E-2</v>
      </c>
      <c r="K7" s="9">
        <f t="shared" ref="K7:K9" si="2">D7</f>
        <v>2.306247051322625E-3</v>
      </c>
      <c r="L7" s="9">
        <f>E7</f>
        <v>3.8927934093844286E-3</v>
      </c>
    </row>
    <row r="8" spans="1:12" ht="15.6" thickTop="1" thickBot="1" x14ac:dyDescent="0.35">
      <c r="A8" s="6" t="s">
        <v>40</v>
      </c>
      <c r="B8" s="8">
        <v>9.6337892927149532E-2</v>
      </c>
      <c r="C8" s="8">
        <v>6.7920115842382611E-2</v>
      </c>
      <c r="D8" s="8">
        <v>5.4979832664581261E-3</v>
      </c>
      <c r="E8" s="8">
        <v>1.2933041488102518E-2</v>
      </c>
      <c r="F8" s="8">
        <v>0.1826890335240928</v>
      </c>
      <c r="H8" t="str">
        <f>A8</f>
        <v>Target.com</v>
      </c>
      <c r="I8" s="9">
        <f t="shared" si="1"/>
        <v>9.6337892927149532E-2</v>
      </c>
      <c r="J8" s="9">
        <f t="shared" si="1"/>
        <v>6.7920115842382611E-2</v>
      </c>
      <c r="K8" s="9">
        <f t="shared" si="2"/>
        <v>5.4979832664581261E-3</v>
      </c>
      <c r="L8" s="9">
        <f>E8</f>
        <v>1.2933041488102518E-2</v>
      </c>
    </row>
    <row r="9" spans="1:12" ht="15.6" thickTop="1" thickBot="1" x14ac:dyDescent="0.35">
      <c r="A9" s="6" t="s">
        <v>35</v>
      </c>
      <c r="B9" s="8">
        <v>0.12522098709469262</v>
      </c>
      <c r="C9" s="8">
        <v>9.1492740283116228E-2</v>
      </c>
      <c r="D9" s="8">
        <v>6.3042760790965081E-3</v>
      </c>
      <c r="E9" s="8">
        <v>1.2408404181197551E-2</v>
      </c>
      <c r="F9" s="8">
        <v>0.23542640763810288</v>
      </c>
      <c r="H9" t="str">
        <f>A9</f>
        <v>Website</v>
      </c>
      <c r="I9" s="9">
        <f t="shared" si="1"/>
        <v>0.12522098709469262</v>
      </c>
      <c r="J9" s="9">
        <f t="shared" si="1"/>
        <v>9.1492740283116228E-2</v>
      </c>
      <c r="K9" s="9">
        <f t="shared" si="2"/>
        <v>6.3042760790965081E-3</v>
      </c>
      <c r="L9" s="9">
        <f>E9</f>
        <v>1.2408404181197551E-2</v>
      </c>
    </row>
    <row r="10" spans="1:12" ht="15" thickTop="1" x14ac:dyDescent="0.3">
      <c r="A10" s="6" t="s">
        <v>2529</v>
      </c>
      <c r="B10" s="8">
        <v>0.52495717387974916</v>
      </c>
      <c r="C10" s="8">
        <v>0.3711684913156732</v>
      </c>
      <c r="D10" s="8">
        <v>2.6245886489133303E-2</v>
      </c>
      <c r="E10" s="8">
        <v>7.7628448315444312E-2</v>
      </c>
      <c r="F10" s="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9098-0865-414F-A9B9-6856ADB2B54D}">
  <dimension ref="A2:B11"/>
  <sheetViews>
    <sheetView workbookViewId="0">
      <selection activeCell="A3" sqref="A3"/>
    </sheetView>
  </sheetViews>
  <sheetFormatPr defaultRowHeight="14.4" x14ac:dyDescent="0.3"/>
  <cols>
    <col min="1" max="1" width="12.44140625" bestFit="1" customWidth="1"/>
    <col min="2" max="2" width="12.21875" bestFit="1" customWidth="1"/>
  </cols>
  <sheetData>
    <row r="2" spans="1:2" x14ac:dyDescent="0.3">
      <c r="A2" t="s">
        <v>2536</v>
      </c>
    </row>
    <row r="3" spans="1:2" x14ac:dyDescent="0.3">
      <c r="A3" s="5" t="s">
        <v>2528</v>
      </c>
      <c r="B3" t="s">
        <v>2518</v>
      </c>
    </row>
    <row r="4" spans="1:2" x14ac:dyDescent="0.3">
      <c r="A4" s="6">
        <v>1</v>
      </c>
      <c r="B4">
        <v>397</v>
      </c>
    </row>
    <row r="5" spans="1:2" x14ac:dyDescent="0.3">
      <c r="A5" s="6">
        <v>2</v>
      </c>
      <c r="B5">
        <v>540</v>
      </c>
    </row>
    <row r="6" spans="1:2" x14ac:dyDescent="0.3">
      <c r="A6" s="6">
        <v>3</v>
      </c>
      <c r="B6">
        <v>375</v>
      </c>
    </row>
    <row r="7" spans="1:2" x14ac:dyDescent="0.3">
      <c r="A7" s="6">
        <v>4</v>
      </c>
      <c r="B7">
        <v>246</v>
      </c>
    </row>
    <row r="8" spans="1:2" x14ac:dyDescent="0.3">
      <c r="A8" s="6">
        <v>5</v>
      </c>
      <c r="B8">
        <v>195</v>
      </c>
    </row>
    <row r="9" spans="1:2" x14ac:dyDescent="0.3">
      <c r="A9" s="6" t="s">
        <v>2537</v>
      </c>
      <c r="B9">
        <v>414</v>
      </c>
    </row>
    <row r="10" spans="1:2" x14ac:dyDescent="0.3">
      <c r="A10" s="6" t="s">
        <v>2538</v>
      </c>
      <c r="B10">
        <v>233</v>
      </c>
    </row>
    <row r="11" spans="1:2" x14ac:dyDescent="0.3">
      <c r="A11" s="6" t="s">
        <v>2529</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3FBE-92B3-418A-9CD4-AE67B37A6EF0}">
  <dimension ref="A3:N25"/>
  <sheetViews>
    <sheetView workbookViewId="0">
      <selection activeCell="C14" sqref="C14"/>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10" width="2" bestFit="1" customWidth="1"/>
    <col min="11" max="12" width="3" bestFit="1" customWidth="1"/>
    <col min="13" max="13" width="12.44140625" bestFit="1" customWidth="1"/>
    <col min="14" max="14" width="14.21875" bestFit="1" customWidth="1"/>
    <col min="15" max="15" width="5" bestFit="1" customWidth="1"/>
    <col min="16" max="16" width="5.6640625" bestFit="1" customWidth="1"/>
    <col min="17" max="17" width="8.5546875" bestFit="1" customWidth="1"/>
    <col min="18" max="18" width="10.5546875" bestFit="1" customWidth="1"/>
    <col min="19" max="49" width="3" bestFit="1" customWidth="1"/>
    <col min="50" max="50" width="10.5546875" bestFit="1" customWidth="1"/>
  </cols>
  <sheetData>
    <row r="3" spans="1:14" x14ac:dyDescent="0.3">
      <c r="A3" s="5" t="s">
        <v>2519</v>
      </c>
      <c r="B3" s="5" t="s">
        <v>2530</v>
      </c>
      <c r="M3" s="5" t="s">
        <v>2528</v>
      </c>
      <c r="N3" t="s">
        <v>2519</v>
      </c>
    </row>
    <row r="4" spans="1:14" x14ac:dyDescent="0.3">
      <c r="A4" s="5" t="s">
        <v>2528</v>
      </c>
      <c r="B4" t="s">
        <v>2531</v>
      </c>
      <c r="C4" t="s">
        <v>2532</v>
      </c>
      <c r="D4" t="s">
        <v>2533</v>
      </c>
      <c r="E4" t="s">
        <v>2534</v>
      </c>
      <c r="F4" t="s">
        <v>2529</v>
      </c>
      <c r="M4" s="6" t="s">
        <v>2531</v>
      </c>
      <c r="N4">
        <v>6272</v>
      </c>
    </row>
    <row r="5" spans="1:14" x14ac:dyDescent="0.3">
      <c r="A5" s="6" t="s">
        <v>44</v>
      </c>
      <c r="B5">
        <v>744</v>
      </c>
      <c r="C5">
        <v>713</v>
      </c>
      <c r="D5">
        <v>90</v>
      </c>
      <c r="E5">
        <v>98</v>
      </c>
      <c r="F5">
        <v>1645</v>
      </c>
      <c r="M5" s="6" t="s">
        <v>2532</v>
      </c>
      <c r="N5">
        <v>4672</v>
      </c>
    </row>
    <row r="6" spans="1:14" x14ac:dyDescent="0.3">
      <c r="A6" s="6" t="s">
        <v>39</v>
      </c>
      <c r="B6">
        <v>716</v>
      </c>
      <c r="C6">
        <v>598</v>
      </c>
      <c r="D6">
        <v>18</v>
      </c>
      <c r="E6">
        <v>214</v>
      </c>
      <c r="F6">
        <v>1546</v>
      </c>
      <c r="M6" s="6" t="s">
        <v>2533</v>
      </c>
      <c r="N6">
        <v>317</v>
      </c>
    </row>
    <row r="7" spans="1:14" x14ac:dyDescent="0.3">
      <c r="A7" s="6" t="s">
        <v>26</v>
      </c>
      <c r="B7">
        <v>627</v>
      </c>
      <c r="C7">
        <v>393</v>
      </c>
      <c r="D7">
        <v>29</v>
      </c>
      <c r="E7">
        <v>137</v>
      </c>
      <c r="F7">
        <v>1186</v>
      </c>
      <c r="M7" s="6" t="s">
        <v>2534</v>
      </c>
      <c r="N7">
        <v>736</v>
      </c>
    </row>
    <row r="8" spans="1:14" x14ac:dyDescent="0.3">
      <c r="A8" s="6" t="s">
        <v>22</v>
      </c>
      <c r="B8">
        <v>568</v>
      </c>
      <c r="C8">
        <v>306</v>
      </c>
      <c r="D8">
        <v>22</v>
      </c>
      <c r="E8">
        <v>16</v>
      </c>
      <c r="F8">
        <v>912</v>
      </c>
      <c r="M8" s="6" t="s">
        <v>2529</v>
      </c>
      <c r="N8">
        <v>11997</v>
      </c>
    </row>
    <row r="9" spans="1:14" x14ac:dyDescent="0.3">
      <c r="A9" s="6" t="s">
        <v>54</v>
      </c>
      <c r="B9">
        <v>482</v>
      </c>
      <c r="C9">
        <v>295</v>
      </c>
      <c r="D9">
        <v>8</v>
      </c>
      <c r="E9">
        <v>22</v>
      </c>
      <c r="F9">
        <v>807</v>
      </c>
    </row>
    <row r="10" spans="1:14" x14ac:dyDescent="0.3">
      <c r="A10" s="6" t="s">
        <v>16</v>
      </c>
      <c r="B10">
        <v>428</v>
      </c>
      <c r="C10">
        <v>293</v>
      </c>
      <c r="E10">
        <v>24</v>
      </c>
      <c r="F10">
        <v>745</v>
      </c>
    </row>
    <row r="11" spans="1:14" x14ac:dyDescent="0.3">
      <c r="A11" s="6" t="s">
        <v>46</v>
      </c>
      <c r="B11">
        <v>445</v>
      </c>
      <c r="C11">
        <v>202</v>
      </c>
      <c r="D11">
        <v>14</v>
      </c>
      <c r="E11">
        <v>39</v>
      </c>
      <c r="F11">
        <v>700</v>
      </c>
    </row>
    <row r="12" spans="1:14" x14ac:dyDescent="0.3">
      <c r="A12" s="6" t="s">
        <v>32</v>
      </c>
      <c r="B12">
        <v>431</v>
      </c>
      <c r="C12">
        <v>187</v>
      </c>
      <c r="D12">
        <v>14</v>
      </c>
      <c r="E12">
        <v>15</v>
      </c>
      <c r="F12">
        <v>647</v>
      </c>
    </row>
    <row r="13" spans="1:14" x14ac:dyDescent="0.3">
      <c r="A13" s="6" t="s">
        <v>42</v>
      </c>
      <c r="B13">
        <v>264</v>
      </c>
      <c r="C13">
        <v>318</v>
      </c>
      <c r="D13">
        <v>15</v>
      </c>
      <c r="E13">
        <v>9</v>
      </c>
      <c r="F13">
        <v>606</v>
      </c>
    </row>
    <row r="14" spans="1:14" x14ac:dyDescent="0.3">
      <c r="A14" s="6" t="s">
        <v>37</v>
      </c>
      <c r="B14">
        <v>296</v>
      </c>
      <c r="C14">
        <v>275</v>
      </c>
      <c r="D14">
        <v>9</v>
      </c>
      <c r="E14">
        <v>23</v>
      </c>
      <c r="F14">
        <v>603</v>
      </c>
    </row>
    <row r="15" spans="1:14" x14ac:dyDescent="0.3">
      <c r="A15" s="6" t="s">
        <v>123</v>
      </c>
      <c r="B15">
        <v>153</v>
      </c>
      <c r="C15">
        <v>246</v>
      </c>
      <c r="D15">
        <v>30</v>
      </c>
      <c r="E15">
        <v>8</v>
      </c>
      <c r="F15">
        <v>437</v>
      </c>
    </row>
    <row r="16" spans="1:14" x14ac:dyDescent="0.3">
      <c r="A16" s="6" t="s">
        <v>146</v>
      </c>
      <c r="B16">
        <v>189</v>
      </c>
      <c r="C16">
        <v>168</v>
      </c>
      <c r="D16">
        <v>10</v>
      </c>
      <c r="E16">
        <v>31</v>
      </c>
      <c r="F16">
        <v>398</v>
      </c>
    </row>
    <row r="17" spans="1:6" x14ac:dyDescent="0.3">
      <c r="A17" s="6" t="s">
        <v>69</v>
      </c>
      <c r="B17">
        <v>234</v>
      </c>
      <c r="C17">
        <v>93</v>
      </c>
      <c r="D17">
        <v>19</v>
      </c>
      <c r="E17">
        <v>24</v>
      </c>
      <c r="F17">
        <v>370</v>
      </c>
    </row>
    <row r="18" spans="1:6" x14ac:dyDescent="0.3">
      <c r="A18" s="6" t="s">
        <v>30</v>
      </c>
      <c r="B18">
        <v>146</v>
      </c>
      <c r="C18">
        <v>94</v>
      </c>
      <c r="D18">
        <v>4</v>
      </c>
      <c r="E18">
        <v>28</v>
      </c>
      <c r="F18">
        <v>272</v>
      </c>
    </row>
    <row r="19" spans="1:6" x14ac:dyDescent="0.3">
      <c r="A19" s="6" t="s">
        <v>135</v>
      </c>
      <c r="B19">
        <v>127</v>
      </c>
      <c r="C19">
        <v>118</v>
      </c>
      <c r="D19">
        <v>13</v>
      </c>
      <c r="E19">
        <v>12</v>
      </c>
      <c r="F19">
        <v>270</v>
      </c>
    </row>
    <row r="20" spans="1:6" x14ac:dyDescent="0.3">
      <c r="A20" s="6" t="s">
        <v>67</v>
      </c>
      <c r="B20">
        <v>179</v>
      </c>
      <c r="C20">
        <v>76</v>
      </c>
      <c r="D20">
        <v>3</v>
      </c>
      <c r="F20">
        <v>258</v>
      </c>
    </row>
    <row r="21" spans="1:6" x14ac:dyDescent="0.3">
      <c r="A21" s="6" t="s">
        <v>128</v>
      </c>
      <c r="B21">
        <v>99</v>
      </c>
      <c r="C21">
        <v>69</v>
      </c>
      <c r="D21">
        <v>3</v>
      </c>
      <c r="E21">
        <v>24</v>
      </c>
      <c r="F21">
        <v>195</v>
      </c>
    </row>
    <row r="22" spans="1:6" x14ac:dyDescent="0.3">
      <c r="A22" s="6" t="s">
        <v>76</v>
      </c>
      <c r="B22">
        <v>75</v>
      </c>
      <c r="C22">
        <v>103</v>
      </c>
      <c r="D22">
        <v>4</v>
      </c>
      <c r="E22">
        <v>6</v>
      </c>
      <c r="F22">
        <v>188</v>
      </c>
    </row>
    <row r="23" spans="1:6" x14ac:dyDescent="0.3">
      <c r="A23" s="6" t="s">
        <v>81</v>
      </c>
      <c r="B23">
        <v>43</v>
      </c>
      <c r="C23">
        <v>90</v>
      </c>
      <c r="D23">
        <v>8</v>
      </c>
      <c r="E23">
        <v>6</v>
      </c>
      <c r="F23">
        <v>147</v>
      </c>
    </row>
    <row r="24" spans="1:6" x14ac:dyDescent="0.3">
      <c r="A24" s="6" t="s">
        <v>171</v>
      </c>
      <c r="B24">
        <v>26</v>
      </c>
      <c r="C24">
        <v>35</v>
      </c>
      <c r="D24">
        <v>4</v>
      </c>
      <c r="F24">
        <v>65</v>
      </c>
    </row>
    <row r="25" spans="1:6" x14ac:dyDescent="0.3">
      <c r="A25" s="6" t="s">
        <v>2529</v>
      </c>
      <c r="B25">
        <v>6272</v>
      </c>
      <c r="C25">
        <v>4672</v>
      </c>
      <c r="D25">
        <v>317</v>
      </c>
      <c r="E25">
        <v>736</v>
      </c>
      <c r="F25">
        <v>11997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AA30-D940-495F-A81A-719E35DDD82A}">
  <dimension ref="A2:M61"/>
  <sheetViews>
    <sheetView workbookViewId="0">
      <selection activeCell="O7" sqref="O7"/>
    </sheetView>
  </sheetViews>
  <sheetFormatPr defaultRowHeight="14.4" x14ac:dyDescent="0.3"/>
  <cols>
    <col min="1" max="1" width="22.77734375" bestFit="1" customWidth="1"/>
    <col min="2" max="2" width="19.6640625" bestFit="1" customWidth="1"/>
    <col min="3" max="3" width="14.21875" bestFit="1" customWidth="1"/>
    <col min="4" max="4" width="13.5546875" bestFit="1" customWidth="1"/>
    <col min="7" max="7" width="8.77734375" bestFit="1" customWidth="1"/>
    <col min="8" max="8" width="19.6640625" bestFit="1" customWidth="1"/>
    <col min="9" max="9" width="5" bestFit="1" customWidth="1"/>
    <col min="11" max="11" width="8.77734375" bestFit="1" customWidth="1"/>
    <col min="12" max="12" width="19.6640625" bestFit="1" customWidth="1"/>
    <col min="13" max="13" width="9" bestFit="1" customWidth="1"/>
  </cols>
  <sheetData>
    <row r="2" spans="1:13" x14ac:dyDescent="0.3">
      <c r="G2" t="s">
        <v>2539</v>
      </c>
      <c r="K2" t="s">
        <v>2540</v>
      </c>
    </row>
    <row r="3" spans="1:13" x14ac:dyDescent="0.3">
      <c r="A3" s="5" t="s">
        <v>10</v>
      </c>
      <c r="B3" s="5" t="s">
        <v>11</v>
      </c>
      <c r="C3" t="s">
        <v>2519</v>
      </c>
      <c r="D3" t="s">
        <v>2520</v>
      </c>
      <c r="G3" t="s">
        <v>10</v>
      </c>
      <c r="H3" t="s">
        <v>11</v>
      </c>
      <c r="I3" t="s">
        <v>2525</v>
      </c>
      <c r="K3" t="s">
        <v>10</v>
      </c>
      <c r="L3" t="s">
        <v>11</v>
      </c>
      <c r="M3" t="s">
        <v>4</v>
      </c>
    </row>
    <row r="4" spans="1:13" x14ac:dyDescent="0.3">
      <c r="A4" t="s">
        <v>19</v>
      </c>
      <c r="B4" t="s">
        <v>115</v>
      </c>
      <c r="C4">
        <v>579</v>
      </c>
      <c r="D4">
        <v>31884.999999999996</v>
      </c>
      <c r="G4" t="str">
        <f>IF(A4="", "",A4)</f>
        <v>California</v>
      </c>
      <c r="H4" t="str">
        <f t="shared" ref="H4:I4" si="0">IF(B4="", "",B4)</f>
        <v>Alameda County</v>
      </c>
      <c r="I4">
        <f t="shared" si="0"/>
        <v>579</v>
      </c>
      <c r="K4" t="str">
        <f>IF(A4="", "", A4)</f>
        <v>California</v>
      </c>
      <c r="L4" t="str">
        <f>IF(B4="", "", B4)</f>
        <v>Alameda County</v>
      </c>
      <c r="M4">
        <f>D4</f>
        <v>31884.999999999996</v>
      </c>
    </row>
    <row r="5" spans="1:13" x14ac:dyDescent="0.3">
      <c r="A5" t="s">
        <v>19</v>
      </c>
      <c r="B5" t="s">
        <v>20</v>
      </c>
      <c r="C5">
        <v>1</v>
      </c>
      <c r="D5">
        <v>10.9</v>
      </c>
      <c r="G5" t="str">
        <f t="shared" ref="G5:G61" si="1">IF(A5="", "",A5)</f>
        <v>California</v>
      </c>
      <c r="H5" t="str">
        <f t="shared" ref="H5:H61" si="2">IF(B5="", "",B5)</f>
        <v>Alpine County</v>
      </c>
      <c r="I5">
        <f t="shared" ref="I5:I61" si="3">IF(C5="", "",C5)</f>
        <v>1</v>
      </c>
      <c r="K5" t="str">
        <f t="shared" ref="K5:K61" si="4">IF(A5="", "", A5)</f>
        <v>California</v>
      </c>
      <c r="L5" t="str">
        <f t="shared" ref="L5:L61" si="5">IF(B5="", "", B5)</f>
        <v>Alpine County</v>
      </c>
      <c r="M5">
        <f t="shared" ref="M5:M61" si="6">D5</f>
        <v>10.9</v>
      </c>
    </row>
    <row r="6" spans="1:13" x14ac:dyDescent="0.3">
      <c r="A6" t="s">
        <v>19</v>
      </c>
      <c r="B6" t="s">
        <v>641</v>
      </c>
      <c r="C6">
        <v>9</v>
      </c>
      <c r="D6">
        <v>800.3</v>
      </c>
      <c r="G6" t="str">
        <f t="shared" si="1"/>
        <v>California</v>
      </c>
      <c r="H6" t="str">
        <f t="shared" si="2"/>
        <v>Amador County</v>
      </c>
      <c r="I6">
        <f t="shared" si="3"/>
        <v>9</v>
      </c>
      <c r="K6" t="str">
        <f t="shared" si="4"/>
        <v>California</v>
      </c>
      <c r="L6" t="str">
        <f t="shared" si="5"/>
        <v>Amador County</v>
      </c>
      <c r="M6">
        <f t="shared" si="6"/>
        <v>800.3</v>
      </c>
    </row>
    <row r="7" spans="1:13" x14ac:dyDescent="0.3">
      <c r="A7" t="s">
        <v>19</v>
      </c>
      <c r="B7" t="s">
        <v>967</v>
      </c>
      <c r="C7">
        <v>35</v>
      </c>
      <c r="D7">
        <v>1062.5999999999999</v>
      </c>
      <c r="G7" t="str">
        <f t="shared" si="1"/>
        <v>California</v>
      </c>
      <c r="H7" t="str">
        <f t="shared" si="2"/>
        <v>Butte County</v>
      </c>
      <c r="I7">
        <f t="shared" si="3"/>
        <v>35</v>
      </c>
      <c r="K7" t="str">
        <f t="shared" si="4"/>
        <v>California</v>
      </c>
      <c r="L7" t="str">
        <f t="shared" si="5"/>
        <v>Butte County</v>
      </c>
      <c r="M7">
        <f t="shared" si="6"/>
        <v>1062.5999999999999</v>
      </c>
    </row>
    <row r="8" spans="1:13" x14ac:dyDescent="0.3">
      <c r="A8" t="s">
        <v>19</v>
      </c>
      <c r="B8" t="s">
        <v>84</v>
      </c>
      <c r="C8">
        <v>12</v>
      </c>
      <c r="D8">
        <v>326.20000000000005</v>
      </c>
      <c r="G8" t="str">
        <f t="shared" si="1"/>
        <v>California</v>
      </c>
      <c r="H8" t="str">
        <f t="shared" si="2"/>
        <v>Calaveras County</v>
      </c>
      <c r="I8">
        <f t="shared" si="3"/>
        <v>12</v>
      </c>
      <c r="K8" t="str">
        <f t="shared" si="4"/>
        <v>California</v>
      </c>
      <c r="L8" t="str">
        <f t="shared" si="5"/>
        <v>Calaveras County</v>
      </c>
      <c r="M8">
        <f t="shared" si="6"/>
        <v>326.20000000000005</v>
      </c>
    </row>
    <row r="9" spans="1:13" x14ac:dyDescent="0.3">
      <c r="A9" t="s">
        <v>19</v>
      </c>
      <c r="B9" t="s">
        <v>1383</v>
      </c>
      <c r="C9">
        <v>4</v>
      </c>
      <c r="D9">
        <v>167.5</v>
      </c>
      <c r="G9" t="str">
        <f t="shared" si="1"/>
        <v>California</v>
      </c>
      <c r="H9" t="str">
        <f t="shared" si="2"/>
        <v>Colusa County</v>
      </c>
      <c r="I9">
        <f t="shared" si="3"/>
        <v>4</v>
      </c>
      <c r="K9" t="str">
        <f t="shared" si="4"/>
        <v>California</v>
      </c>
      <c r="L9" t="str">
        <f t="shared" si="5"/>
        <v>Colusa County</v>
      </c>
      <c r="M9">
        <f t="shared" si="6"/>
        <v>167.5</v>
      </c>
    </row>
    <row r="10" spans="1:13" x14ac:dyDescent="0.3">
      <c r="A10" t="s">
        <v>19</v>
      </c>
      <c r="B10" t="s">
        <v>24</v>
      </c>
      <c r="C10">
        <v>341</v>
      </c>
      <c r="D10">
        <v>16168.7</v>
      </c>
      <c r="G10" t="str">
        <f t="shared" si="1"/>
        <v>California</v>
      </c>
      <c r="H10" t="str">
        <f t="shared" si="2"/>
        <v>Contra Costa County</v>
      </c>
      <c r="I10">
        <f t="shared" si="3"/>
        <v>341</v>
      </c>
      <c r="K10" t="str">
        <f t="shared" si="4"/>
        <v>California</v>
      </c>
      <c r="L10" t="str">
        <f t="shared" si="5"/>
        <v>Contra Costa County</v>
      </c>
      <c r="M10">
        <f t="shared" si="6"/>
        <v>16168.7</v>
      </c>
    </row>
    <row r="11" spans="1:13" x14ac:dyDescent="0.3">
      <c r="A11" t="s">
        <v>19</v>
      </c>
      <c r="B11" t="s">
        <v>2204</v>
      </c>
      <c r="C11">
        <v>13</v>
      </c>
      <c r="D11">
        <v>322.40000000000003</v>
      </c>
      <c r="G11" t="str">
        <f t="shared" si="1"/>
        <v>California</v>
      </c>
      <c r="H11" t="str">
        <f t="shared" si="2"/>
        <v>Del Norte County</v>
      </c>
      <c r="I11">
        <f t="shared" si="3"/>
        <v>13</v>
      </c>
      <c r="K11" t="str">
        <f t="shared" si="4"/>
        <v>California</v>
      </c>
      <c r="L11" t="str">
        <f t="shared" si="5"/>
        <v>Del Norte County</v>
      </c>
      <c r="M11">
        <f t="shared" si="6"/>
        <v>322.40000000000003</v>
      </c>
    </row>
    <row r="12" spans="1:13" x14ac:dyDescent="0.3">
      <c r="A12" t="s">
        <v>19</v>
      </c>
      <c r="B12" t="s">
        <v>437</v>
      </c>
      <c r="C12">
        <v>31</v>
      </c>
      <c r="D12">
        <v>2092.8000000000002</v>
      </c>
      <c r="G12" t="str">
        <f t="shared" si="1"/>
        <v>California</v>
      </c>
      <c r="H12" t="str">
        <f t="shared" si="2"/>
        <v>El Dorado County</v>
      </c>
      <c r="I12">
        <f t="shared" si="3"/>
        <v>31</v>
      </c>
      <c r="K12" t="str">
        <f t="shared" si="4"/>
        <v>California</v>
      </c>
      <c r="L12" t="str">
        <f t="shared" si="5"/>
        <v>El Dorado County</v>
      </c>
      <c r="M12">
        <f t="shared" si="6"/>
        <v>2092.8000000000002</v>
      </c>
    </row>
    <row r="13" spans="1:13" x14ac:dyDescent="0.3">
      <c r="A13" t="s">
        <v>19</v>
      </c>
      <c r="B13" t="s">
        <v>28</v>
      </c>
      <c r="C13">
        <v>279</v>
      </c>
      <c r="D13">
        <v>12662.500000000002</v>
      </c>
      <c r="G13" t="str">
        <f t="shared" si="1"/>
        <v>California</v>
      </c>
      <c r="H13" t="str">
        <f t="shared" si="2"/>
        <v>Fresno County</v>
      </c>
      <c r="I13">
        <f t="shared" si="3"/>
        <v>279</v>
      </c>
      <c r="K13" t="str">
        <f t="shared" si="4"/>
        <v>California</v>
      </c>
      <c r="L13" t="str">
        <f t="shared" si="5"/>
        <v>Fresno County</v>
      </c>
      <c r="M13">
        <f t="shared" si="6"/>
        <v>12662.500000000002</v>
      </c>
    </row>
    <row r="14" spans="1:13" x14ac:dyDescent="0.3">
      <c r="A14" t="s">
        <v>19</v>
      </c>
      <c r="B14" t="s">
        <v>208</v>
      </c>
      <c r="C14">
        <v>9</v>
      </c>
      <c r="D14">
        <v>343.2</v>
      </c>
      <c r="G14" t="str">
        <f t="shared" si="1"/>
        <v>California</v>
      </c>
      <c r="H14" t="str">
        <f t="shared" si="2"/>
        <v>Glenn County</v>
      </c>
      <c r="I14">
        <f t="shared" si="3"/>
        <v>9</v>
      </c>
      <c r="K14" t="str">
        <f t="shared" si="4"/>
        <v>California</v>
      </c>
      <c r="L14" t="str">
        <f t="shared" si="5"/>
        <v>Glenn County</v>
      </c>
      <c r="M14">
        <f t="shared" si="6"/>
        <v>343.2</v>
      </c>
    </row>
    <row r="15" spans="1:13" x14ac:dyDescent="0.3">
      <c r="A15" t="s">
        <v>19</v>
      </c>
      <c r="B15" t="s">
        <v>587</v>
      </c>
      <c r="C15">
        <v>49</v>
      </c>
      <c r="D15">
        <v>2188.2999999999997</v>
      </c>
      <c r="G15" t="str">
        <f t="shared" si="1"/>
        <v>California</v>
      </c>
      <c r="H15" t="str">
        <f t="shared" si="2"/>
        <v>Humboldt County</v>
      </c>
      <c r="I15">
        <f t="shared" si="3"/>
        <v>49</v>
      </c>
      <c r="K15" t="str">
        <f t="shared" si="4"/>
        <v>California</v>
      </c>
      <c r="L15" t="str">
        <f t="shared" si="5"/>
        <v>Humboldt County</v>
      </c>
      <c r="M15">
        <f t="shared" si="6"/>
        <v>2188.2999999999997</v>
      </c>
    </row>
    <row r="16" spans="1:13" x14ac:dyDescent="0.3">
      <c r="A16" t="s">
        <v>19</v>
      </c>
      <c r="B16" t="s">
        <v>331</v>
      </c>
      <c r="C16">
        <v>59</v>
      </c>
      <c r="D16">
        <v>2661.5999999999995</v>
      </c>
      <c r="G16" t="str">
        <f t="shared" si="1"/>
        <v>California</v>
      </c>
      <c r="H16" t="str">
        <f t="shared" si="2"/>
        <v>Imperial County</v>
      </c>
      <c r="I16">
        <f t="shared" si="3"/>
        <v>59</v>
      </c>
      <c r="K16" t="str">
        <f t="shared" si="4"/>
        <v>California</v>
      </c>
      <c r="L16" t="str">
        <f t="shared" si="5"/>
        <v>Imperial County</v>
      </c>
      <c r="M16">
        <f t="shared" si="6"/>
        <v>2661.5999999999995</v>
      </c>
    </row>
    <row r="17" spans="1:13" x14ac:dyDescent="0.3">
      <c r="A17" t="s">
        <v>19</v>
      </c>
      <c r="B17" t="s">
        <v>86</v>
      </c>
      <c r="C17">
        <v>8</v>
      </c>
      <c r="D17">
        <v>887.5</v>
      </c>
      <c r="G17" t="str">
        <f t="shared" si="1"/>
        <v>California</v>
      </c>
      <c r="H17" t="str">
        <f t="shared" si="2"/>
        <v>Inyo County</v>
      </c>
      <c r="I17">
        <f t="shared" si="3"/>
        <v>8</v>
      </c>
      <c r="K17" t="str">
        <f t="shared" si="4"/>
        <v>California</v>
      </c>
      <c r="L17" t="str">
        <f t="shared" si="5"/>
        <v>Inyo County</v>
      </c>
      <c r="M17">
        <f t="shared" si="6"/>
        <v>887.5</v>
      </c>
    </row>
    <row r="18" spans="1:13" x14ac:dyDescent="0.3">
      <c r="A18" t="s">
        <v>19</v>
      </c>
      <c r="B18" t="s">
        <v>147</v>
      </c>
      <c r="C18">
        <v>222</v>
      </c>
      <c r="D18">
        <v>11354.199999999993</v>
      </c>
      <c r="G18" t="str">
        <f t="shared" si="1"/>
        <v>California</v>
      </c>
      <c r="H18" t="str">
        <f t="shared" si="2"/>
        <v>Kern County</v>
      </c>
      <c r="I18">
        <f t="shared" si="3"/>
        <v>222</v>
      </c>
      <c r="K18" t="str">
        <f t="shared" si="4"/>
        <v>California</v>
      </c>
      <c r="L18" t="str">
        <f t="shared" si="5"/>
        <v>Kern County</v>
      </c>
      <c r="M18">
        <f t="shared" si="6"/>
        <v>11354.199999999993</v>
      </c>
    </row>
    <row r="19" spans="1:13" x14ac:dyDescent="0.3">
      <c r="A19" t="s">
        <v>19</v>
      </c>
      <c r="B19" t="s">
        <v>334</v>
      </c>
      <c r="C19">
        <v>36</v>
      </c>
      <c r="D19">
        <v>1558.4</v>
      </c>
      <c r="G19" t="str">
        <f t="shared" si="1"/>
        <v>California</v>
      </c>
      <c r="H19" t="str">
        <f t="shared" si="2"/>
        <v>Kings County</v>
      </c>
      <c r="I19">
        <f t="shared" si="3"/>
        <v>36</v>
      </c>
      <c r="K19" t="str">
        <f t="shared" si="4"/>
        <v>California</v>
      </c>
      <c r="L19" t="str">
        <f t="shared" si="5"/>
        <v>Kings County</v>
      </c>
      <c r="M19">
        <f t="shared" si="6"/>
        <v>1558.4</v>
      </c>
    </row>
    <row r="20" spans="1:13" x14ac:dyDescent="0.3">
      <c r="A20" t="s">
        <v>19</v>
      </c>
      <c r="B20" t="s">
        <v>949</v>
      </c>
      <c r="C20">
        <v>30</v>
      </c>
      <c r="D20">
        <v>2223.9</v>
      </c>
      <c r="G20" t="str">
        <f t="shared" si="1"/>
        <v>California</v>
      </c>
      <c r="H20" t="str">
        <f t="shared" si="2"/>
        <v>Lake County</v>
      </c>
      <c r="I20">
        <f t="shared" si="3"/>
        <v>30</v>
      </c>
      <c r="K20" t="str">
        <f t="shared" si="4"/>
        <v>California</v>
      </c>
      <c r="L20" t="str">
        <f t="shared" si="5"/>
        <v>Lake County</v>
      </c>
      <c r="M20">
        <f t="shared" si="6"/>
        <v>2223.9</v>
      </c>
    </row>
    <row r="21" spans="1:13" x14ac:dyDescent="0.3">
      <c r="A21" t="s">
        <v>19</v>
      </c>
      <c r="B21" t="s">
        <v>1426</v>
      </c>
      <c r="C21">
        <v>1</v>
      </c>
      <c r="D21">
        <v>26.2</v>
      </c>
      <c r="G21" t="str">
        <f t="shared" si="1"/>
        <v>California</v>
      </c>
      <c r="H21" t="str">
        <f t="shared" si="2"/>
        <v>Lassen County</v>
      </c>
      <c r="I21">
        <f t="shared" si="3"/>
        <v>1</v>
      </c>
      <c r="K21" t="str">
        <f t="shared" si="4"/>
        <v>California</v>
      </c>
      <c r="L21" t="str">
        <f t="shared" si="5"/>
        <v>Lassen County</v>
      </c>
      <c r="M21">
        <f t="shared" si="6"/>
        <v>26.2</v>
      </c>
    </row>
    <row r="22" spans="1:13" x14ac:dyDescent="0.3">
      <c r="A22" t="s">
        <v>19</v>
      </c>
      <c r="B22" t="s">
        <v>33</v>
      </c>
      <c r="C22">
        <v>3991</v>
      </c>
      <c r="D22">
        <v>215551.19999999981</v>
      </c>
      <c r="G22" t="str">
        <f t="shared" si="1"/>
        <v>California</v>
      </c>
      <c r="H22" t="str">
        <f t="shared" si="2"/>
        <v>Los Angeles County</v>
      </c>
      <c r="I22">
        <f t="shared" si="3"/>
        <v>3991</v>
      </c>
      <c r="K22" t="str">
        <f t="shared" si="4"/>
        <v>California</v>
      </c>
      <c r="L22" t="str">
        <f t="shared" si="5"/>
        <v>Los Angeles County</v>
      </c>
      <c r="M22">
        <f t="shared" si="6"/>
        <v>215551.19999999981</v>
      </c>
    </row>
    <row r="23" spans="1:13" x14ac:dyDescent="0.3">
      <c r="A23" t="s">
        <v>19</v>
      </c>
      <c r="B23" t="s">
        <v>364</v>
      </c>
      <c r="C23">
        <v>45</v>
      </c>
      <c r="D23">
        <v>2687.3999999999996</v>
      </c>
      <c r="G23" t="str">
        <f t="shared" si="1"/>
        <v>California</v>
      </c>
      <c r="H23" t="str">
        <f t="shared" si="2"/>
        <v>Madera County</v>
      </c>
      <c r="I23">
        <f t="shared" si="3"/>
        <v>45</v>
      </c>
      <c r="K23" t="str">
        <f t="shared" si="4"/>
        <v>California</v>
      </c>
      <c r="L23" t="str">
        <f t="shared" si="5"/>
        <v>Madera County</v>
      </c>
      <c r="M23">
        <f t="shared" si="6"/>
        <v>2687.3999999999996</v>
      </c>
    </row>
    <row r="24" spans="1:13" x14ac:dyDescent="0.3">
      <c r="A24" t="s">
        <v>19</v>
      </c>
      <c r="B24" t="s">
        <v>545</v>
      </c>
      <c r="C24">
        <v>39</v>
      </c>
      <c r="D24">
        <v>1463.3000000000002</v>
      </c>
      <c r="G24" t="str">
        <f t="shared" si="1"/>
        <v>California</v>
      </c>
      <c r="H24" t="str">
        <f t="shared" si="2"/>
        <v>Marin County</v>
      </c>
      <c r="I24">
        <f t="shared" si="3"/>
        <v>39</v>
      </c>
      <c r="K24" t="str">
        <f t="shared" si="4"/>
        <v>California</v>
      </c>
      <c r="L24" t="str">
        <f t="shared" si="5"/>
        <v>Marin County</v>
      </c>
      <c r="M24">
        <f t="shared" si="6"/>
        <v>1463.3000000000002</v>
      </c>
    </row>
    <row r="25" spans="1:13" x14ac:dyDescent="0.3">
      <c r="A25" t="s">
        <v>19</v>
      </c>
      <c r="B25" t="s">
        <v>416</v>
      </c>
      <c r="C25">
        <v>6</v>
      </c>
      <c r="D25">
        <v>445.79999999999995</v>
      </c>
      <c r="G25" t="str">
        <f t="shared" si="1"/>
        <v>California</v>
      </c>
      <c r="H25" t="str">
        <f t="shared" si="2"/>
        <v>Mariposa County</v>
      </c>
      <c r="I25">
        <f t="shared" si="3"/>
        <v>6</v>
      </c>
      <c r="K25" t="str">
        <f t="shared" si="4"/>
        <v>California</v>
      </c>
      <c r="L25" t="str">
        <f t="shared" si="5"/>
        <v>Mariposa County</v>
      </c>
      <c r="M25">
        <f t="shared" si="6"/>
        <v>445.79999999999995</v>
      </c>
    </row>
    <row r="26" spans="1:13" x14ac:dyDescent="0.3">
      <c r="A26" t="s">
        <v>19</v>
      </c>
      <c r="B26" t="s">
        <v>258</v>
      </c>
      <c r="C26">
        <v>9</v>
      </c>
      <c r="D26">
        <v>273.59999999999997</v>
      </c>
      <c r="G26" t="str">
        <f t="shared" si="1"/>
        <v>California</v>
      </c>
      <c r="H26" t="str">
        <f t="shared" si="2"/>
        <v>Mendocino County</v>
      </c>
      <c r="I26">
        <f t="shared" si="3"/>
        <v>9</v>
      </c>
      <c r="K26" t="str">
        <f t="shared" si="4"/>
        <v>California</v>
      </c>
      <c r="L26" t="str">
        <f t="shared" si="5"/>
        <v>Mendocino County</v>
      </c>
      <c r="M26">
        <f t="shared" si="6"/>
        <v>273.59999999999997</v>
      </c>
    </row>
    <row r="27" spans="1:13" x14ac:dyDescent="0.3">
      <c r="A27" t="s">
        <v>19</v>
      </c>
      <c r="B27" t="s">
        <v>186</v>
      </c>
      <c r="C27">
        <v>60</v>
      </c>
      <c r="D27">
        <v>2690.4</v>
      </c>
      <c r="G27" t="str">
        <f t="shared" si="1"/>
        <v>California</v>
      </c>
      <c r="H27" t="str">
        <f t="shared" si="2"/>
        <v>Merced County</v>
      </c>
      <c r="I27">
        <f t="shared" si="3"/>
        <v>60</v>
      </c>
      <c r="K27" t="str">
        <f t="shared" si="4"/>
        <v>California</v>
      </c>
      <c r="L27" t="str">
        <f t="shared" si="5"/>
        <v>Merced County</v>
      </c>
      <c r="M27">
        <f t="shared" si="6"/>
        <v>2690.4</v>
      </c>
    </row>
    <row r="28" spans="1:13" x14ac:dyDescent="0.3">
      <c r="A28" t="s">
        <v>19</v>
      </c>
      <c r="B28" t="s">
        <v>392</v>
      </c>
      <c r="C28">
        <v>2</v>
      </c>
      <c r="D28">
        <v>28.4</v>
      </c>
      <c r="G28" t="str">
        <f t="shared" si="1"/>
        <v>California</v>
      </c>
      <c r="H28" t="str">
        <f t="shared" si="2"/>
        <v>Modoc County</v>
      </c>
      <c r="I28">
        <f t="shared" si="3"/>
        <v>2</v>
      </c>
      <c r="K28" t="str">
        <f t="shared" si="4"/>
        <v>California</v>
      </c>
      <c r="L28" t="str">
        <f t="shared" si="5"/>
        <v>Modoc County</v>
      </c>
      <c r="M28">
        <f t="shared" si="6"/>
        <v>28.4</v>
      </c>
    </row>
    <row r="29" spans="1:13" x14ac:dyDescent="0.3">
      <c r="A29" t="s">
        <v>19</v>
      </c>
      <c r="B29" t="s">
        <v>670</v>
      </c>
      <c r="C29">
        <v>4</v>
      </c>
      <c r="D29">
        <v>204.8</v>
      </c>
      <c r="G29" t="str">
        <f t="shared" si="1"/>
        <v>California</v>
      </c>
      <c r="H29" t="str">
        <f t="shared" si="2"/>
        <v>Mono County</v>
      </c>
      <c r="I29">
        <f t="shared" si="3"/>
        <v>4</v>
      </c>
      <c r="K29" t="str">
        <f t="shared" si="4"/>
        <v>California</v>
      </c>
      <c r="L29" t="str">
        <f t="shared" si="5"/>
        <v>Mono County</v>
      </c>
      <c r="M29">
        <f t="shared" si="6"/>
        <v>204.8</v>
      </c>
    </row>
    <row r="30" spans="1:13" x14ac:dyDescent="0.3">
      <c r="A30" t="s">
        <v>19</v>
      </c>
      <c r="B30" t="s">
        <v>802</v>
      </c>
      <c r="C30">
        <v>31</v>
      </c>
      <c r="D30">
        <v>1607.8999999999999</v>
      </c>
      <c r="G30" t="str">
        <f t="shared" si="1"/>
        <v>California</v>
      </c>
      <c r="H30" t="str">
        <f t="shared" si="2"/>
        <v>Monterey County</v>
      </c>
      <c r="I30">
        <f t="shared" si="3"/>
        <v>31</v>
      </c>
      <c r="K30" t="str">
        <f t="shared" si="4"/>
        <v>California</v>
      </c>
      <c r="L30" t="str">
        <f t="shared" si="5"/>
        <v>Monterey County</v>
      </c>
      <c r="M30">
        <f t="shared" si="6"/>
        <v>1607.8999999999999</v>
      </c>
    </row>
    <row r="31" spans="1:13" x14ac:dyDescent="0.3">
      <c r="A31" t="s">
        <v>19</v>
      </c>
      <c r="B31" t="s">
        <v>98</v>
      </c>
      <c r="C31">
        <v>88</v>
      </c>
      <c r="D31">
        <v>6444.9</v>
      </c>
      <c r="G31" t="str">
        <f t="shared" si="1"/>
        <v>California</v>
      </c>
      <c r="H31" t="str">
        <f t="shared" si="2"/>
        <v>Napa County</v>
      </c>
      <c r="I31">
        <f t="shared" si="3"/>
        <v>88</v>
      </c>
      <c r="K31" t="str">
        <f t="shared" si="4"/>
        <v>California</v>
      </c>
      <c r="L31" t="str">
        <f t="shared" si="5"/>
        <v>Napa County</v>
      </c>
      <c r="M31">
        <f t="shared" si="6"/>
        <v>6444.9</v>
      </c>
    </row>
    <row r="32" spans="1:13" x14ac:dyDescent="0.3">
      <c r="A32" t="s">
        <v>19</v>
      </c>
      <c r="B32" t="s">
        <v>49</v>
      </c>
      <c r="C32">
        <v>25</v>
      </c>
      <c r="D32">
        <v>1809.3</v>
      </c>
      <c r="G32" t="str">
        <f t="shared" si="1"/>
        <v>California</v>
      </c>
      <c r="H32" t="str">
        <f t="shared" si="2"/>
        <v>Nevada County</v>
      </c>
      <c r="I32">
        <f t="shared" si="3"/>
        <v>25</v>
      </c>
      <c r="K32" t="str">
        <f t="shared" si="4"/>
        <v>California</v>
      </c>
      <c r="L32" t="str">
        <f t="shared" si="5"/>
        <v>Nevada County</v>
      </c>
      <c r="M32">
        <f t="shared" si="6"/>
        <v>1809.3</v>
      </c>
    </row>
    <row r="33" spans="1:13" x14ac:dyDescent="0.3">
      <c r="A33" t="s">
        <v>19</v>
      </c>
      <c r="B33" t="s">
        <v>188</v>
      </c>
      <c r="C33">
        <v>178</v>
      </c>
      <c r="D33">
        <v>9680.399999999996</v>
      </c>
      <c r="G33" t="str">
        <f t="shared" si="1"/>
        <v>California</v>
      </c>
      <c r="H33" t="str">
        <f t="shared" si="2"/>
        <v>Orange County</v>
      </c>
      <c r="I33">
        <f t="shared" si="3"/>
        <v>178</v>
      </c>
      <c r="K33" t="str">
        <f t="shared" si="4"/>
        <v>California</v>
      </c>
      <c r="L33" t="str">
        <f t="shared" si="5"/>
        <v>Orange County</v>
      </c>
      <c r="M33">
        <f t="shared" si="6"/>
        <v>9680.399999999996</v>
      </c>
    </row>
    <row r="34" spans="1:13" x14ac:dyDescent="0.3">
      <c r="A34" t="s">
        <v>19</v>
      </c>
      <c r="B34" t="s">
        <v>52</v>
      </c>
      <c r="C34">
        <v>141</v>
      </c>
      <c r="D34">
        <v>9414.7999999999993</v>
      </c>
      <c r="G34" t="str">
        <f t="shared" si="1"/>
        <v>California</v>
      </c>
      <c r="H34" t="str">
        <f t="shared" si="2"/>
        <v>Placer County</v>
      </c>
      <c r="I34">
        <f t="shared" si="3"/>
        <v>141</v>
      </c>
      <c r="K34" t="str">
        <f t="shared" si="4"/>
        <v>California</v>
      </c>
      <c r="L34" t="str">
        <f t="shared" si="5"/>
        <v>Placer County</v>
      </c>
      <c r="M34">
        <f t="shared" si="6"/>
        <v>9414.7999999999993</v>
      </c>
    </row>
    <row r="35" spans="1:13" x14ac:dyDescent="0.3">
      <c r="A35" t="s">
        <v>19</v>
      </c>
      <c r="B35" t="s">
        <v>338</v>
      </c>
      <c r="C35">
        <v>6</v>
      </c>
      <c r="D35">
        <v>206.1</v>
      </c>
      <c r="G35" t="str">
        <f t="shared" si="1"/>
        <v>California</v>
      </c>
      <c r="H35" t="str">
        <f t="shared" si="2"/>
        <v>Plumas County</v>
      </c>
      <c r="I35">
        <f t="shared" si="3"/>
        <v>6</v>
      </c>
      <c r="K35" t="str">
        <f t="shared" si="4"/>
        <v>California</v>
      </c>
      <c r="L35" t="str">
        <f t="shared" si="5"/>
        <v>Plumas County</v>
      </c>
      <c r="M35">
        <f t="shared" si="6"/>
        <v>206.1</v>
      </c>
    </row>
    <row r="36" spans="1:13" x14ac:dyDescent="0.3">
      <c r="A36" t="s">
        <v>19</v>
      </c>
      <c r="B36" t="s">
        <v>158</v>
      </c>
      <c r="C36">
        <v>178</v>
      </c>
      <c r="D36">
        <v>7691.3</v>
      </c>
      <c r="G36" t="str">
        <f t="shared" si="1"/>
        <v>California</v>
      </c>
      <c r="H36" t="str">
        <f t="shared" si="2"/>
        <v>Riverside County</v>
      </c>
      <c r="I36">
        <f t="shared" si="3"/>
        <v>178</v>
      </c>
      <c r="K36" t="str">
        <f t="shared" si="4"/>
        <v>California</v>
      </c>
      <c r="L36" t="str">
        <f t="shared" si="5"/>
        <v>Riverside County</v>
      </c>
      <c r="M36">
        <f t="shared" si="6"/>
        <v>7691.3</v>
      </c>
    </row>
    <row r="37" spans="1:13" x14ac:dyDescent="0.3">
      <c r="A37" t="s">
        <v>19</v>
      </c>
      <c r="B37" t="s">
        <v>55</v>
      </c>
      <c r="C37">
        <v>699</v>
      </c>
      <c r="D37">
        <v>37784.900000000016</v>
      </c>
      <c r="G37" t="str">
        <f t="shared" si="1"/>
        <v>California</v>
      </c>
      <c r="H37" t="str">
        <f t="shared" si="2"/>
        <v>Sacramento County</v>
      </c>
      <c r="I37">
        <f t="shared" si="3"/>
        <v>699</v>
      </c>
      <c r="K37" t="str">
        <f t="shared" si="4"/>
        <v>California</v>
      </c>
      <c r="L37" t="str">
        <f t="shared" si="5"/>
        <v>Sacramento County</v>
      </c>
      <c r="M37">
        <f t="shared" si="6"/>
        <v>37784.900000000016</v>
      </c>
    </row>
    <row r="38" spans="1:13" x14ac:dyDescent="0.3">
      <c r="A38" t="s">
        <v>19</v>
      </c>
      <c r="B38" t="s">
        <v>342</v>
      </c>
      <c r="C38">
        <v>23</v>
      </c>
      <c r="D38">
        <v>1129.7</v>
      </c>
      <c r="G38" t="str">
        <f t="shared" si="1"/>
        <v>California</v>
      </c>
      <c r="H38" t="str">
        <f t="shared" si="2"/>
        <v>San Benito County</v>
      </c>
      <c r="I38">
        <f t="shared" si="3"/>
        <v>23</v>
      </c>
      <c r="K38" t="str">
        <f t="shared" si="4"/>
        <v>California</v>
      </c>
      <c r="L38" t="str">
        <f t="shared" si="5"/>
        <v>San Benito County</v>
      </c>
      <c r="M38">
        <f t="shared" si="6"/>
        <v>1129.7</v>
      </c>
    </row>
    <row r="39" spans="1:13" x14ac:dyDescent="0.3">
      <c r="A39" t="s">
        <v>19</v>
      </c>
      <c r="B39" t="s">
        <v>59</v>
      </c>
      <c r="C39">
        <v>356</v>
      </c>
      <c r="D39">
        <v>20988.9</v>
      </c>
      <c r="G39" t="str">
        <f t="shared" si="1"/>
        <v>California</v>
      </c>
      <c r="H39" t="str">
        <f t="shared" si="2"/>
        <v>San Bernardino County</v>
      </c>
      <c r="I39">
        <f t="shared" si="3"/>
        <v>356</v>
      </c>
      <c r="K39" t="str">
        <f t="shared" si="4"/>
        <v>California</v>
      </c>
      <c r="L39" t="str">
        <f t="shared" si="5"/>
        <v>San Bernardino County</v>
      </c>
      <c r="M39">
        <f t="shared" si="6"/>
        <v>20988.9</v>
      </c>
    </row>
    <row r="40" spans="1:13" x14ac:dyDescent="0.3">
      <c r="A40" t="s">
        <v>19</v>
      </c>
      <c r="B40" t="s">
        <v>62</v>
      </c>
      <c r="C40">
        <v>1768</v>
      </c>
      <c r="D40">
        <v>98367.099999999977</v>
      </c>
      <c r="G40" t="str">
        <f t="shared" si="1"/>
        <v>California</v>
      </c>
      <c r="H40" t="str">
        <f t="shared" si="2"/>
        <v>San Diego County</v>
      </c>
      <c r="I40">
        <f t="shared" si="3"/>
        <v>1768</v>
      </c>
      <c r="K40" t="str">
        <f t="shared" si="4"/>
        <v>California</v>
      </c>
      <c r="L40" t="str">
        <f t="shared" si="5"/>
        <v>San Diego County</v>
      </c>
      <c r="M40">
        <f t="shared" si="6"/>
        <v>98367.099999999977</v>
      </c>
    </row>
    <row r="41" spans="1:13" x14ac:dyDescent="0.3">
      <c r="A41" t="s">
        <v>19</v>
      </c>
      <c r="B41" t="s">
        <v>103</v>
      </c>
      <c r="C41">
        <v>307</v>
      </c>
      <c r="D41">
        <v>21911.9</v>
      </c>
      <c r="G41" t="str">
        <f t="shared" si="1"/>
        <v>California</v>
      </c>
      <c r="H41" t="str">
        <f t="shared" si="2"/>
        <v>San Francisco</v>
      </c>
      <c r="I41">
        <f t="shared" si="3"/>
        <v>307</v>
      </c>
      <c r="K41" t="str">
        <f t="shared" si="4"/>
        <v>California</v>
      </c>
      <c r="L41" t="str">
        <f t="shared" si="5"/>
        <v>San Francisco</v>
      </c>
      <c r="M41">
        <f t="shared" si="6"/>
        <v>21911.9</v>
      </c>
    </row>
    <row r="42" spans="1:13" x14ac:dyDescent="0.3">
      <c r="A42" t="s">
        <v>19</v>
      </c>
      <c r="B42" t="s">
        <v>201</v>
      </c>
      <c r="C42">
        <v>117</v>
      </c>
      <c r="D42">
        <v>5441.2</v>
      </c>
      <c r="G42" t="str">
        <f t="shared" si="1"/>
        <v>California</v>
      </c>
      <c r="H42" t="str">
        <f t="shared" si="2"/>
        <v>San Joaquin County</v>
      </c>
      <c r="I42">
        <f t="shared" si="3"/>
        <v>117</v>
      </c>
      <c r="K42" t="str">
        <f t="shared" si="4"/>
        <v>California</v>
      </c>
      <c r="L42" t="str">
        <f t="shared" si="5"/>
        <v>San Joaquin County</v>
      </c>
      <c r="M42">
        <f t="shared" si="6"/>
        <v>5441.2</v>
      </c>
    </row>
    <row r="43" spans="1:13" x14ac:dyDescent="0.3">
      <c r="A43" t="s">
        <v>19</v>
      </c>
      <c r="B43" t="s">
        <v>429</v>
      </c>
      <c r="C43">
        <v>13</v>
      </c>
      <c r="D43">
        <v>392.8</v>
      </c>
      <c r="G43" t="str">
        <f t="shared" si="1"/>
        <v>California</v>
      </c>
      <c r="H43" t="str">
        <f t="shared" si="2"/>
        <v>San Luis Obispo County</v>
      </c>
      <c r="I43">
        <f t="shared" si="3"/>
        <v>13</v>
      </c>
      <c r="K43" t="str">
        <f t="shared" si="4"/>
        <v>California</v>
      </c>
      <c r="L43" t="str">
        <f t="shared" si="5"/>
        <v>San Luis Obispo County</v>
      </c>
      <c r="M43">
        <f t="shared" si="6"/>
        <v>392.8</v>
      </c>
    </row>
    <row r="44" spans="1:13" x14ac:dyDescent="0.3">
      <c r="A44" t="s">
        <v>19</v>
      </c>
      <c r="B44" t="s">
        <v>72</v>
      </c>
      <c r="C44">
        <v>364</v>
      </c>
      <c r="D44">
        <v>16172.000000000005</v>
      </c>
      <c r="G44" t="str">
        <f t="shared" si="1"/>
        <v>California</v>
      </c>
      <c r="H44" t="str">
        <f t="shared" si="2"/>
        <v>San Mateo County</v>
      </c>
      <c r="I44">
        <f t="shared" si="3"/>
        <v>364</v>
      </c>
      <c r="K44" t="str">
        <f t="shared" si="4"/>
        <v>California</v>
      </c>
      <c r="L44" t="str">
        <f t="shared" si="5"/>
        <v>San Mateo County</v>
      </c>
      <c r="M44">
        <f t="shared" si="6"/>
        <v>16172.000000000005</v>
      </c>
    </row>
    <row r="45" spans="1:13" x14ac:dyDescent="0.3">
      <c r="A45" t="s">
        <v>19</v>
      </c>
      <c r="B45" t="s">
        <v>74</v>
      </c>
      <c r="C45">
        <v>95</v>
      </c>
      <c r="D45">
        <v>4334.9999999999991</v>
      </c>
      <c r="G45" t="str">
        <f t="shared" si="1"/>
        <v>California</v>
      </c>
      <c r="H45" t="str">
        <f t="shared" si="2"/>
        <v>Santa Barbara County</v>
      </c>
      <c r="I45">
        <f t="shared" si="3"/>
        <v>95</v>
      </c>
      <c r="K45" t="str">
        <f t="shared" si="4"/>
        <v>California</v>
      </c>
      <c r="L45" t="str">
        <f t="shared" si="5"/>
        <v>Santa Barbara County</v>
      </c>
      <c r="M45">
        <f t="shared" si="6"/>
        <v>4334.9999999999991</v>
      </c>
    </row>
    <row r="46" spans="1:13" x14ac:dyDescent="0.3">
      <c r="A46" t="s">
        <v>19</v>
      </c>
      <c r="B46" t="s">
        <v>77</v>
      </c>
      <c r="C46">
        <v>737</v>
      </c>
      <c r="D46">
        <v>37449.000000000007</v>
      </c>
      <c r="G46" t="str">
        <f t="shared" si="1"/>
        <v>California</v>
      </c>
      <c r="H46" t="str">
        <f t="shared" si="2"/>
        <v>Santa Clara County</v>
      </c>
      <c r="I46">
        <f t="shared" si="3"/>
        <v>737</v>
      </c>
      <c r="K46" t="str">
        <f t="shared" si="4"/>
        <v>California</v>
      </c>
      <c r="L46" t="str">
        <f t="shared" si="5"/>
        <v>Santa Clara County</v>
      </c>
      <c r="M46">
        <f t="shared" si="6"/>
        <v>37449.000000000007</v>
      </c>
    </row>
    <row r="47" spans="1:13" x14ac:dyDescent="0.3">
      <c r="A47" t="s">
        <v>19</v>
      </c>
      <c r="B47" t="s">
        <v>309</v>
      </c>
      <c r="C47">
        <v>39</v>
      </c>
      <c r="D47">
        <v>2447.5</v>
      </c>
      <c r="G47" t="str">
        <f t="shared" si="1"/>
        <v>California</v>
      </c>
      <c r="H47" t="str">
        <f t="shared" si="2"/>
        <v>Santa Cruz County</v>
      </c>
      <c r="I47">
        <f t="shared" si="3"/>
        <v>39</v>
      </c>
      <c r="K47" t="str">
        <f t="shared" si="4"/>
        <v>California</v>
      </c>
      <c r="L47" t="str">
        <f t="shared" si="5"/>
        <v>Santa Cruz County</v>
      </c>
      <c r="M47">
        <f t="shared" si="6"/>
        <v>2447.5</v>
      </c>
    </row>
    <row r="48" spans="1:13" x14ac:dyDescent="0.3">
      <c r="A48" t="s">
        <v>19</v>
      </c>
      <c r="B48" t="s">
        <v>1116</v>
      </c>
      <c r="C48">
        <v>56</v>
      </c>
      <c r="D48">
        <v>3391.1</v>
      </c>
      <c r="G48" t="str">
        <f t="shared" si="1"/>
        <v>California</v>
      </c>
      <c r="H48" t="str">
        <f t="shared" si="2"/>
        <v>Shasta County</v>
      </c>
      <c r="I48">
        <f t="shared" si="3"/>
        <v>56</v>
      </c>
      <c r="K48" t="str">
        <f t="shared" si="4"/>
        <v>California</v>
      </c>
      <c r="L48" t="str">
        <f t="shared" si="5"/>
        <v>Shasta County</v>
      </c>
      <c r="M48">
        <f t="shared" si="6"/>
        <v>3391.1</v>
      </c>
    </row>
    <row r="49" spans="1:13" x14ac:dyDescent="0.3">
      <c r="A49" t="s">
        <v>19</v>
      </c>
      <c r="B49" t="s">
        <v>700</v>
      </c>
      <c r="C49">
        <v>2</v>
      </c>
      <c r="D49">
        <v>30.8</v>
      </c>
      <c r="G49" t="str">
        <f t="shared" si="1"/>
        <v>California</v>
      </c>
      <c r="H49" t="str">
        <f t="shared" si="2"/>
        <v>Sierra County</v>
      </c>
      <c r="I49">
        <f t="shared" si="3"/>
        <v>2</v>
      </c>
      <c r="K49" t="str">
        <f t="shared" si="4"/>
        <v>California</v>
      </c>
      <c r="L49" t="str">
        <f t="shared" si="5"/>
        <v>Sierra County</v>
      </c>
      <c r="M49">
        <f t="shared" si="6"/>
        <v>30.8</v>
      </c>
    </row>
    <row r="50" spans="1:13" x14ac:dyDescent="0.3">
      <c r="A50" t="s">
        <v>19</v>
      </c>
      <c r="B50" t="s">
        <v>268</v>
      </c>
      <c r="C50">
        <v>8</v>
      </c>
      <c r="D50">
        <v>332.3</v>
      </c>
      <c r="G50" t="str">
        <f t="shared" si="1"/>
        <v>California</v>
      </c>
      <c r="H50" t="str">
        <f t="shared" si="2"/>
        <v>Siskiyou County</v>
      </c>
      <c r="I50">
        <f t="shared" si="3"/>
        <v>8</v>
      </c>
      <c r="K50" t="str">
        <f t="shared" si="4"/>
        <v>California</v>
      </c>
      <c r="L50" t="str">
        <f t="shared" si="5"/>
        <v>Siskiyou County</v>
      </c>
      <c r="M50">
        <f t="shared" si="6"/>
        <v>332.3</v>
      </c>
    </row>
    <row r="51" spans="1:13" x14ac:dyDescent="0.3">
      <c r="A51" t="s">
        <v>19</v>
      </c>
      <c r="B51" t="s">
        <v>377</v>
      </c>
      <c r="C51">
        <v>52</v>
      </c>
      <c r="D51">
        <v>3175.9999999999995</v>
      </c>
      <c r="G51" t="str">
        <f t="shared" si="1"/>
        <v>California</v>
      </c>
      <c r="H51" t="str">
        <f t="shared" si="2"/>
        <v>Solano County</v>
      </c>
      <c r="I51">
        <f t="shared" si="3"/>
        <v>52</v>
      </c>
      <c r="K51" t="str">
        <f t="shared" si="4"/>
        <v>California</v>
      </c>
      <c r="L51" t="str">
        <f t="shared" si="5"/>
        <v>Solano County</v>
      </c>
      <c r="M51">
        <f t="shared" si="6"/>
        <v>3175.9999999999995</v>
      </c>
    </row>
    <row r="52" spans="1:13" x14ac:dyDescent="0.3">
      <c r="A52" t="s">
        <v>19</v>
      </c>
      <c r="B52" t="s">
        <v>108</v>
      </c>
      <c r="C52">
        <v>295</v>
      </c>
      <c r="D52">
        <v>20939.600000000002</v>
      </c>
      <c r="G52" t="str">
        <f t="shared" si="1"/>
        <v>California</v>
      </c>
      <c r="H52" t="str">
        <f t="shared" si="2"/>
        <v>Sonoma County</v>
      </c>
      <c r="I52">
        <f t="shared" si="3"/>
        <v>295</v>
      </c>
      <c r="K52" t="str">
        <f t="shared" si="4"/>
        <v>California</v>
      </c>
      <c r="L52" t="str">
        <f t="shared" si="5"/>
        <v>Sonoma County</v>
      </c>
      <c r="M52">
        <f t="shared" si="6"/>
        <v>20939.600000000002</v>
      </c>
    </row>
    <row r="53" spans="1:13" x14ac:dyDescent="0.3">
      <c r="A53" t="s">
        <v>19</v>
      </c>
      <c r="B53" t="s">
        <v>110</v>
      </c>
      <c r="C53">
        <v>195</v>
      </c>
      <c r="D53">
        <v>10185.899999999996</v>
      </c>
      <c r="G53" t="str">
        <f t="shared" si="1"/>
        <v>California</v>
      </c>
      <c r="H53" t="str">
        <f t="shared" si="2"/>
        <v>Stanislaus County</v>
      </c>
      <c r="I53">
        <f t="shared" si="3"/>
        <v>195</v>
      </c>
      <c r="K53" t="str">
        <f t="shared" si="4"/>
        <v>California</v>
      </c>
      <c r="L53" t="str">
        <f t="shared" si="5"/>
        <v>Stanislaus County</v>
      </c>
      <c r="M53">
        <f t="shared" si="6"/>
        <v>10185.899999999996</v>
      </c>
    </row>
    <row r="54" spans="1:13" x14ac:dyDescent="0.3">
      <c r="A54" t="s">
        <v>19</v>
      </c>
      <c r="B54" t="s">
        <v>292</v>
      </c>
      <c r="C54">
        <v>20</v>
      </c>
      <c r="D54">
        <v>958.7</v>
      </c>
      <c r="G54" t="str">
        <f t="shared" si="1"/>
        <v>California</v>
      </c>
      <c r="H54" t="str">
        <f t="shared" si="2"/>
        <v>Sutter County</v>
      </c>
      <c r="I54">
        <f t="shared" si="3"/>
        <v>20</v>
      </c>
      <c r="K54" t="str">
        <f t="shared" si="4"/>
        <v>California</v>
      </c>
      <c r="L54" t="str">
        <f t="shared" si="5"/>
        <v>Sutter County</v>
      </c>
      <c r="M54">
        <f t="shared" si="6"/>
        <v>958.7</v>
      </c>
    </row>
    <row r="55" spans="1:13" x14ac:dyDescent="0.3">
      <c r="A55" t="s">
        <v>19</v>
      </c>
      <c r="B55" t="s">
        <v>79</v>
      </c>
      <c r="C55">
        <v>6</v>
      </c>
      <c r="D55">
        <v>323</v>
      </c>
      <c r="G55" t="str">
        <f t="shared" si="1"/>
        <v>California</v>
      </c>
      <c r="H55" t="str">
        <f t="shared" si="2"/>
        <v>Tehama County</v>
      </c>
      <c r="I55">
        <f t="shared" si="3"/>
        <v>6</v>
      </c>
      <c r="K55" t="str">
        <f t="shared" si="4"/>
        <v>California</v>
      </c>
      <c r="L55" t="str">
        <f t="shared" si="5"/>
        <v>Tehama County</v>
      </c>
      <c r="M55">
        <f t="shared" si="6"/>
        <v>323</v>
      </c>
    </row>
    <row r="56" spans="1:13" x14ac:dyDescent="0.3">
      <c r="A56" t="s">
        <v>19</v>
      </c>
      <c r="B56" t="s">
        <v>608</v>
      </c>
      <c r="C56">
        <v>5</v>
      </c>
      <c r="D56">
        <v>167.70000000000002</v>
      </c>
      <c r="G56" t="str">
        <f t="shared" si="1"/>
        <v>California</v>
      </c>
      <c r="H56" t="str">
        <f t="shared" si="2"/>
        <v>Trinity County</v>
      </c>
      <c r="I56">
        <f t="shared" si="3"/>
        <v>5</v>
      </c>
      <c r="K56" t="str">
        <f t="shared" si="4"/>
        <v>California</v>
      </c>
      <c r="L56" t="str">
        <f t="shared" si="5"/>
        <v>Trinity County</v>
      </c>
      <c r="M56">
        <f t="shared" si="6"/>
        <v>167.70000000000002</v>
      </c>
    </row>
    <row r="57" spans="1:13" x14ac:dyDescent="0.3">
      <c r="A57" t="s">
        <v>19</v>
      </c>
      <c r="B57" t="s">
        <v>113</v>
      </c>
      <c r="C57">
        <v>94</v>
      </c>
      <c r="D57">
        <v>3978.5</v>
      </c>
      <c r="G57" t="str">
        <f t="shared" si="1"/>
        <v>California</v>
      </c>
      <c r="H57" t="str">
        <f t="shared" si="2"/>
        <v>Tulare County</v>
      </c>
      <c r="I57">
        <f t="shared" si="3"/>
        <v>94</v>
      </c>
      <c r="K57" t="str">
        <f t="shared" si="4"/>
        <v>California</v>
      </c>
      <c r="L57" t="str">
        <f t="shared" si="5"/>
        <v>Tulare County</v>
      </c>
      <c r="M57">
        <f t="shared" si="6"/>
        <v>3978.5</v>
      </c>
    </row>
    <row r="58" spans="1:13" x14ac:dyDescent="0.3">
      <c r="A58" t="s">
        <v>19</v>
      </c>
      <c r="B58" t="s">
        <v>997</v>
      </c>
      <c r="C58">
        <v>28</v>
      </c>
      <c r="D58">
        <v>1405</v>
      </c>
      <c r="G58" t="str">
        <f t="shared" si="1"/>
        <v>California</v>
      </c>
      <c r="H58" t="str">
        <f t="shared" si="2"/>
        <v>Tuolumne County</v>
      </c>
      <c r="I58">
        <f t="shared" si="3"/>
        <v>28</v>
      </c>
      <c r="K58" t="str">
        <f t="shared" si="4"/>
        <v>California</v>
      </c>
      <c r="L58" t="str">
        <f t="shared" si="5"/>
        <v>Tuolumne County</v>
      </c>
      <c r="M58">
        <f t="shared" si="6"/>
        <v>1405</v>
      </c>
    </row>
    <row r="59" spans="1:13" x14ac:dyDescent="0.3">
      <c r="A59" t="s">
        <v>19</v>
      </c>
      <c r="B59" t="s">
        <v>82</v>
      </c>
      <c r="C59">
        <v>179</v>
      </c>
      <c r="D59">
        <v>9869.0999999999985</v>
      </c>
      <c r="G59" t="str">
        <f t="shared" si="1"/>
        <v>California</v>
      </c>
      <c r="H59" t="str">
        <f t="shared" si="2"/>
        <v>Ventura County</v>
      </c>
      <c r="I59">
        <f t="shared" si="3"/>
        <v>179</v>
      </c>
      <c r="K59" t="str">
        <f t="shared" si="4"/>
        <v>California</v>
      </c>
      <c r="L59" t="str">
        <f t="shared" si="5"/>
        <v>Ventura County</v>
      </c>
      <c r="M59">
        <f t="shared" si="6"/>
        <v>9869.0999999999985</v>
      </c>
    </row>
    <row r="60" spans="1:13" x14ac:dyDescent="0.3">
      <c r="A60" t="s">
        <v>19</v>
      </c>
      <c r="B60" t="s">
        <v>243</v>
      </c>
      <c r="C60">
        <v>15</v>
      </c>
      <c r="D60">
        <v>615.29999999999995</v>
      </c>
      <c r="G60" t="str">
        <f t="shared" si="1"/>
        <v>California</v>
      </c>
      <c r="H60" t="str">
        <f t="shared" si="2"/>
        <v>Yolo County</v>
      </c>
      <c r="I60">
        <f t="shared" si="3"/>
        <v>15</v>
      </c>
      <c r="K60" t="str">
        <f t="shared" si="4"/>
        <v>California</v>
      </c>
      <c r="L60" t="str">
        <f t="shared" si="5"/>
        <v>Yolo County</v>
      </c>
      <c r="M60">
        <f t="shared" si="6"/>
        <v>615.29999999999995</v>
      </c>
    </row>
    <row r="61" spans="1:13" x14ac:dyDescent="0.3">
      <c r="A61" t="s">
        <v>19</v>
      </c>
      <c r="B61" t="s">
        <v>1911</v>
      </c>
      <c r="C61">
        <v>3</v>
      </c>
      <c r="D61">
        <v>285</v>
      </c>
      <c r="G61" t="str">
        <f t="shared" si="1"/>
        <v>California</v>
      </c>
      <c r="H61" t="str">
        <f t="shared" si="2"/>
        <v>Yuba County</v>
      </c>
      <c r="I61">
        <f t="shared" si="3"/>
        <v>3</v>
      </c>
      <c r="K61" t="str">
        <f t="shared" si="4"/>
        <v>California</v>
      </c>
      <c r="L61" t="str">
        <f t="shared" si="5"/>
        <v>Yuba County</v>
      </c>
      <c r="M61">
        <f t="shared" si="6"/>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24A65-A5B0-4194-A157-B83A13C24175}">
  <dimension ref="A3:B19"/>
  <sheetViews>
    <sheetView workbookViewId="0">
      <selection activeCell="A3" sqref="A3"/>
    </sheetView>
  </sheetViews>
  <sheetFormatPr defaultRowHeight="14.4" x14ac:dyDescent="0.3"/>
  <cols>
    <col min="1" max="1" width="12.44140625" bestFit="1" customWidth="1"/>
    <col min="2" max="2" width="12.21875" bestFit="1" customWidth="1"/>
  </cols>
  <sheetData>
    <row r="3" spans="1:2" x14ac:dyDescent="0.3">
      <c r="A3" s="5" t="s">
        <v>2528</v>
      </c>
      <c r="B3" t="s">
        <v>2518</v>
      </c>
    </row>
    <row r="4" spans="1:2" x14ac:dyDescent="0.3">
      <c r="A4" s="6">
        <v>0</v>
      </c>
      <c r="B4">
        <v>175</v>
      </c>
    </row>
    <row r="5" spans="1:2" x14ac:dyDescent="0.3">
      <c r="A5" s="6">
        <v>1</v>
      </c>
      <c r="B5">
        <v>888</v>
      </c>
    </row>
    <row r="6" spans="1:2" x14ac:dyDescent="0.3">
      <c r="A6" s="6">
        <v>2</v>
      </c>
      <c r="B6">
        <v>538</v>
      </c>
    </row>
    <row r="7" spans="1:2" x14ac:dyDescent="0.3">
      <c r="A7" s="6">
        <v>3</v>
      </c>
      <c r="B7">
        <v>344</v>
      </c>
    </row>
    <row r="8" spans="1:2" x14ac:dyDescent="0.3">
      <c r="A8" s="6">
        <v>4</v>
      </c>
      <c r="B8">
        <v>200</v>
      </c>
    </row>
    <row r="9" spans="1:2" x14ac:dyDescent="0.3">
      <c r="A9" s="6">
        <v>5</v>
      </c>
      <c r="B9">
        <v>94</v>
      </c>
    </row>
    <row r="10" spans="1:2" x14ac:dyDescent="0.3">
      <c r="A10" s="6">
        <v>6</v>
      </c>
      <c r="B10">
        <v>51</v>
      </c>
    </row>
    <row r="11" spans="1:2" x14ac:dyDescent="0.3">
      <c r="A11" s="6">
        <v>7</v>
      </c>
      <c r="B11">
        <v>32</v>
      </c>
    </row>
    <row r="12" spans="1:2" x14ac:dyDescent="0.3">
      <c r="A12" s="6">
        <v>8</v>
      </c>
      <c r="B12">
        <v>23</v>
      </c>
    </row>
    <row r="13" spans="1:2" x14ac:dyDescent="0.3">
      <c r="A13" s="6">
        <v>9</v>
      </c>
      <c r="B13">
        <v>9</v>
      </c>
    </row>
    <row r="14" spans="1:2" x14ac:dyDescent="0.3">
      <c r="A14" s="6">
        <v>10</v>
      </c>
      <c r="B14">
        <v>8</v>
      </c>
    </row>
    <row r="15" spans="1:2" x14ac:dyDescent="0.3">
      <c r="A15" s="6">
        <v>11</v>
      </c>
      <c r="B15">
        <v>11</v>
      </c>
    </row>
    <row r="16" spans="1:2" x14ac:dyDescent="0.3">
      <c r="A16" s="6">
        <v>12</v>
      </c>
      <c r="B16">
        <v>4</v>
      </c>
    </row>
    <row r="17" spans="1:2" x14ac:dyDescent="0.3">
      <c r="A17" s="6">
        <v>13</v>
      </c>
      <c r="B17">
        <v>10</v>
      </c>
    </row>
    <row r="18" spans="1:2" x14ac:dyDescent="0.3">
      <c r="A18" s="6">
        <v>14</v>
      </c>
      <c r="B18">
        <v>13</v>
      </c>
    </row>
    <row r="19" spans="1:2" x14ac:dyDescent="0.3">
      <c r="A19" s="6" t="s">
        <v>2529</v>
      </c>
      <c r="B19">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3CB7-E3DB-4595-B93E-C58F42EC915C}">
  <dimension ref="B1:B17"/>
  <sheetViews>
    <sheetView workbookViewId="0">
      <selection activeCell="B17" sqref="B17"/>
    </sheetView>
  </sheetViews>
  <sheetFormatPr defaultRowHeight="14.4" x14ac:dyDescent="0.3"/>
  <cols>
    <col min="1" max="1" width="10.109375" customWidth="1"/>
    <col min="2" max="2" width="31.21875" customWidth="1"/>
  </cols>
  <sheetData>
    <row r="1" spans="2:2" x14ac:dyDescent="0.3">
      <c r="B1" s="3" t="s">
        <v>2503</v>
      </c>
    </row>
    <row r="2" spans="2:2" x14ac:dyDescent="0.3">
      <c r="B2" s="4" t="s">
        <v>2504</v>
      </c>
    </row>
    <row r="3" spans="2:2" x14ac:dyDescent="0.3">
      <c r="B3" s="4" t="s">
        <v>2505</v>
      </c>
    </row>
    <row r="4" spans="2:2" x14ac:dyDescent="0.3">
      <c r="B4" s="4" t="s">
        <v>2506</v>
      </c>
    </row>
    <row r="5" spans="2:2" x14ac:dyDescent="0.3">
      <c r="B5" s="4" t="s">
        <v>2507</v>
      </c>
    </row>
    <row r="6" spans="2:2" x14ac:dyDescent="0.3">
      <c r="B6" s="4" t="s">
        <v>2508</v>
      </c>
    </row>
    <row r="9" spans="2:2" x14ac:dyDescent="0.3">
      <c r="B9" s="3" t="s">
        <v>2509</v>
      </c>
    </row>
    <row r="10" spans="2:2" x14ac:dyDescent="0.3">
      <c r="B10" t="s">
        <v>2510</v>
      </c>
    </row>
    <row r="11" spans="2:2" x14ac:dyDescent="0.3">
      <c r="B11" t="s">
        <v>2511</v>
      </c>
    </row>
    <row r="12" spans="2:2" x14ac:dyDescent="0.3">
      <c r="B12" t="s">
        <v>2512</v>
      </c>
    </row>
    <row r="13" spans="2:2" x14ac:dyDescent="0.3">
      <c r="B13" t="s">
        <v>2513</v>
      </c>
    </row>
    <row r="14" spans="2:2" x14ac:dyDescent="0.3">
      <c r="B14" t="s">
        <v>2514</v>
      </c>
    </row>
    <row r="15" spans="2:2" x14ac:dyDescent="0.3">
      <c r="B15" t="s">
        <v>2515</v>
      </c>
    </row>
    <row r="16" spans="2:2" x14ac:dyDescent="0.3">
      <c r="B16" t="s">
        <v>2516</v>
      </c>
    </row>
    <row r="17" spans="2:2" x14ac:dyDescent="0.3">
      <c r="B17" t="s">
        <v>2517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AF029-5949-47BD-9A62-7481CCD0CA4B}">
  <dimension ref="A3:G8"/>
  <sheetViews>
    <sheetView workbookViewId="0">
      <selection activeCell="AB8" sqref="AB8"/>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32" width="9" bestFit="1" customWidth="1"/>
    <col min="33" max="89" width="9.44140625" bestFit="1" customWidth="1"/>
    <col min="90" max="90" width="10.5546875" bestFit="1" customWidth="1"/>
  </cols>
  <sheetData>
    <row r="3" spans="1:7" x14ac:dyDescent="0.3">
      <c r="A3" s="5" t="s">
        <v>2518</v>
      </c>
      <c r="B3" s="5" t="s">
        <v>2530</v>
      </c>
    </row>
    <row r="4" spans="1:7" x14ac:dyDescent="0.3">
      <c r="A4" s="5" t="s">
        <v>2528</v>
      </c>
      <c r="B4">
        <v>1</v>
      </c>
      <c r="C4">
        <v>2</v>
      </c>
      <c r="D4">
        <v>3</v>
      </c>
      <c r="E4">
        <v>4</v>
      </c>
      <c r="F4">
        <v>5</v>
      </c>
      <c r="G4" t="s">
        <v>2529</v>
      </c>
    </row>
    <row r="5" spans="1:7" x14ac:dyDescent="0.3">
      <c r="A5" s="6" t="s">
        <v>2541</v>
      </c>
      <c r="B5">
        <v>7</v>
      </c>
      <c r="C5">
        <v>37</v>
      </c>
      <c r="D5">
        <v>150</v>
      </c>
      <c r="E5">
        <v>312</v>
      </c>
      <c r="F5">
        <v>224</v>
      </c>
      <c r="G5">
        <v>730</v>
      </c>
    </row>
    <row r="6" spans="1:7" x14ac:dyDescent="0.3">
      <c r="A6" s="6" t="s">
        <v>2542</v>
      </c>
      <c r="B6">
        <v>8</v>
      </c>
      <c r="C6">
        <v>51</v>
      </c>
      <c r="D6">
        <v>182</v>
      </c>
      <c r="E6">
        <v>373</v>
      </c>
      <c r="F6">
        <v>247</v>
      </c>
      <c r="G6">
        <v>861</v>
      </c>
    </row>
    <row r="7" spans="1:7" x14ac:dyDescent="0.3">
      <c r="A7" s="6" t="s">
        <v>2543</v>
      </c>
      <c r="B7">
        <v>6</v>
      </c>
      <c r="C7">
        <v>39</v>
      </c>
      <c r="D7">
        <v>163</v>
      </c>
      <c r="E7">
        <v>351</v>
      </c>
      <c r="F7">
        <v>250</v>
      </c>
      <c r="G7">
        <v>809</v>
      </c>
    </row>
    <row r="8" spans="1:7" x14ac:dyDescent="0.3">
      <c r="A8" s="6" t="s">
        <v>2529</v>
      </c>
      <c r="B8">
        <v>21</v>
      </c>
      <c r="C8">
        <v>127</v>
      </c>
      <c r="D8">
        <v>495</v>
      </c>
      <c r="E8">
        <v>1036</v>
      </c>
      <c r="F8">
        <v>721</v>
      </c>
      <c r="G8">
        <v>2400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A58C-3FFC-407D-9C4E-86BF578C7431}">
  <dimension ref="A1:O2401"/>
  <sheetViews>
    <sheetView topLeftCell="A2" workbookViewId="0">
      <selection activeCell="R9" sqref="R9"/>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s="1" t="s">
        <v>12</v>
      </c>
      <c r="N1" s="1" t="s">
        <v>13</v>
      </c>
      <c r="O1" s="1" t="s">
        <v>14</v>
      </c>
    </row>
    <row r="2" spans="1:15" x14ac:dyDescent="0.3">
      <c r="A2" t="s">
        <v>15</v>
      </c>
      <c r="B2" t="s">
        <v>16</v>
      </c>
      <c r="C2">
        <v>1</v>
      </c>
      <c r="D2">
        <v>10.9</v>
      </c>
      <c r="E2">
        <v>10.9</v>
      </c>
      <c r="F2" s="2">
        <v>45658</v>
      </c>
      <c r="G2" s="2">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2">
        <v>45658</v>
      </c>
      <c r="G3" s="2">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2">
        <v>45658</v>
      </c>
      <c r="G4" s="2">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2">
        <v>45658</v>
      </c>
      <c r="G5" s="2">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2">
        <v>45658</v>
      </c>
      <c r="G6" s="2">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2">
        <v>45658</v>
      </c>
      <c r="G7" s="2">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2">
        <v>45658</v>
      </c>
      <c r="G8" s="2">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2">
        <v>45658</v>
      </c>
      <c r="G9" s="2">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2">
        <v>45658</v>
      </c>
      <c r="G10" s="2">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2">
        <v>45658</v>
      </c>
      <c r="G11" s="2">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2">
        <v>45658</v>
      </c>
      <c r="G12" s="2">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2">
        <v>45658</v>
      </c>
      <c r="G13" s="2">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2">
        <v>45658</v>
      </c>
      <c r="G14" s="2">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2">
        <v>45658</v>
      </c>
      <c r="G15" s="2">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2">
        <v>45658</v>
      </c>
      <c r="G16" s="2">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2">
        <v>45658</v>
      </c>
      <c r="G17" s="2">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2">
        <v>45658</v>
      </c>
      <c r="G18" s="2">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2">
        <v>45658</v>
      </c>
      <c r="G19" s="2">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2">
        <v>45658</v>
      </c>
      <c r="G20" s="2">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2">
        <v>45658</v>
      </c>
      <c r="G21" s="2">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2">
        <v>45658</v>
      </c>
      <c r="G22" s="2">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2">
        <v>45658</v>
      </c>
      <c r="G23" s="2">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2">
        <v>45658</v>
      </c>
      <c r="G24" s="2">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2">
        <v>45658</v>
      </c>
      <c r="G25" s="2">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2">
        <v>45658</v>
      </c>
      <c r="G26" s="2">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2">
        <v>45658</v>
      </c>
      <c r="G27" s="2">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2">
        <v>45658</v>
      </c>
      <c r="G28" s="2">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2">
        <v>45658</v>
      </c>
      <c r="G29" s="2">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2">
        <v>45658</v>
      </c>
      <c r="G30" s="2">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2">
        <v>45658</v>
      </c>
      <c r="G31" s="2">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2">
        <v>45658</v>
      </c>
      <c r="G32" s="2">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2">
        <v>45658</v>
      </c>
      <c r="G33" s="2">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2">
        <v>45658</v>
      </c>
      <c r="G34" s="2">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2">
        <v>45658</v>
      </c>
      <c r="G35" s="2">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2">
        <v>45658</v>
      </c>
      <c r="G36" s="2">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2">
        <v>45658</v>
      </c>
      <c r="G37" s="2">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2">
        <v>45658</v>
      </c>
      <c r="G38" s="2">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2">
        <v>45658</v>
      </c>
      <c r="G39" s="2">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2">
        <v>45659</v>
      </c>
      <c r="G40" s="2">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2">
        <v>45659</v>
      </c>
      <c r="G41" s="2">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2">
        <v>45659</v>
      </c>
      <c r="G42" s="2">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2">
        <v>45659</v>
      </c>
      <c r="G43" s="2">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2">
        <v>45659</v>
      </c>
      <c r="G44" s="2">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2">
        <v>45659</v>
      </c>
      <c r="G45" s="2">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2">
        <v>45659</v>
      </c>
      <c r="G46" s="2">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2">
        <v>45659</v>
      </c>
      <c r="G47" s="2">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2">
        <v>45659</v>
      </c>
      <c r="G48" s="2">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2">
        <v>45659</v>
      </c>
      <c r="G49" s="2">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2">
        <v>45659</v>
      </c>
      <c r="G50" s="2">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2">
        <v>45659</v>
      </c>
      <c r="G51" s="2">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2">
        <v>45659</v>
      </c>
      <c r="G52" s="2">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2">
        <v>45659</v>
      </c>
      <c r="G53" s="2">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2">
        <v>45659</v>
      </c>
      <c r="G54" s="2">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2">
        <v>45659</v>
      </c>
      <c r="G55" s="2">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2">
        <v>45659</v>
      </c>
      <c r="G56" s="2">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2">
        <v>45659</v>
      </c>
      <c r="G57" s="2">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2">
        <v>45659</v>
      </c>
      <c r="G58" s="2">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2">
        <v>45660</v>
      </c>
      <c r="G59" s="2">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2">
        <v>45660</v>
      </c>
      <c r="G60" s="2">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2">
        <v>45660</v>
      </c>
      <c r="G61" s="2">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2">
        <v>45660</v>
      </c>
      <c r="G62" s="2">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2">
        <v>45660</v>
      </c>
      <c r="G63" s="2">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2">
        <v>45660</v>
      </c>
      <c r="G64" s="2">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2">
        <v>45660</v>
      </c>
      <c r="G65" s="2">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2">
        <v>45660</v>
      </c>
      <c r="G66" s="2">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2">
        <v>45660</v>
      </c>
      <c r="G67" s="2">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2">
        <v>45660</v>
      </c>
      <c r="G68" s="2">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2">
        <v>45660</v>
      </c>
      <c r="G69" s="2">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2">
        <v>45660</v>
      </c>
      <c r="G70" s="2">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2">
        <v>45660</v>
      </c>
      <c r="G71" s="2">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2">
        <v>45660</v>
      </c>
      <c r="G72" s="2">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2">
        <v>45660</v>
      </c>
      <c r="G73" s="2">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2">
        <v>45660</v>
      </c>
      <c r="G74" s="2">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2">
        <v>45660</v>
      </c>
      <c r="G75" s="2">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2">
        <v>45660</v>
      </c>
      <c r="G76" s="2">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2">
        <v>45660</v>
      </c>
      <c r="G77" s="2">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2">
        <v>45660</v>
      </c>
      <c r="G78" s="2">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2">
        <v>45660</v>
      </c>
      <c r="G79" s="2">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2">
        <v>45660</v>
      </c>
      <c r="G80" s="2">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2">
        <v>45660</v>
      </c>
      <c r="G81" s="2">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2">
        <v>45660</v>
      </c>
      <c r="G82" s="2">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2">
        <v>45660</v>
      </c>
      <c r="G83" s="2">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2">
        <v>45660</v>
      </c>
      <c r="G84" s="2">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2">
        <v>45661</v>
      </c>
      <c r="G85" s="2">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2">
        <v>45661</v>
      </c>
      <c r="G86" s="2">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2">
        <v>45661</v>
      </c>
      <c r="G87" s="2">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2">
        <v>45661</v>
      </c>
      <c r="G88" s="2">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2">
        <v>45661</v>
      </c>
      <c r="G89" s="2">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2">
        <v>45661</v>
      </c>
      <c r="G90" s="2">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2">
        <v>45661</v>
      </c>
      <c r="G91" s="2">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2">
        <v>45661</v>
      </c>
      <c r="G92" s="2">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2">
        <v>45661</v>
      </c>
      <c r="G93" s="2">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2">
        <v>45661</v>
      </c>
      <c r="G94" s="2">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2">
        <v>45661</v>
      </c>
      <c r="G95" s="2">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2">
        <v>45661</v>
      </c>
      <c r="G96" s="2">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2">
        <v>45661</v>
      </c>
      <c r="G97" s="2">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2">
        <v>45661</v>
      </c>
      <c r="G98" s="2">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2">
        <v>45661</v>
      </c>
      <c r="G99" s="2">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2">
        <v>45661</v>
      </c>
      <c r="G100" s="2">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2">
        <v>45661</v>
      </c>
      <c r="G101" s="2">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2">
        <v>45661</v>
      </c>
      <c r="G102" s="2">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2">
        <v>45662</v>
      </c>
      <c r="G103" s="2">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2">
        <v>45662</v>
      </c>
      <c r="G104" s="2">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2">
        <v>45662</v>
      </c>
      <c r="G105" s="2">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2">
        <v>45662</v>
      </c>
      <c r="G106" s="2">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2">
        <v>45662</v>
      </c>
      <c r="G107" s="2">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2">
        <v>45662</v>
      </c>
      <c r="G108" s="2">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2">
        <v>45662</v>
      </c>
      <c r="G109" s="2">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2">
        <v>45662</v>
      </c>
      <c r="G110" s="2">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2">
        <v>45662</v>
      </c>
      <c r="G111" s="2">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2">
        <v>45662</v>
      </c>
      <c r="G112" s="2">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2">
        <v>45662</v>
      </c>
      <c r="G113" s="2">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2">
        <v>45662</v>
      </c>
      <c r="G114" s="2">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2">
        <v>45662</v>
      </c>
      <c r="G115" s="2">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2">
        <v>45662</v>
      </c>
      <c r="G116" s="2">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2">
        <v>45662</v>
      </c>
      <c r="G117" s="2">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2">
        <v>45662</v>
      </c>
      <c r="G118" s="2">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2">
        <v>45662</v>
      </c>
      <c r="G119" s="2">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2">
        <v>45662</v>
      </c>
      <c r="G120" s="2">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2">
        <v>45662</v>
      </c>
      <c r="G121" s="2">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2">
        <v>45662</v>
      </c>
      <c r="G122" s="2">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2">
        <v>45662</v>
      </c>
      <c r="G123" s="2">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2">
        <v>45662</v>
      </c>
      <c r="G124" s="2">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2">
        <v>45662</v>
      </c>
      <c r="G125" s="2">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2">
        <v>45662</v>
      </c>
      <c r="G126" s="2">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2">
        <v>45662</v>
      </c>
      <c r="G127" s="2">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2">
        <v>45662</v>
      </c>
      <c r="G128" s="2">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2">
        <v>45663</v>
      </c>
      <c r="G129" s="2">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2">
        <v>45663</v>
      </c>
      <c r="G130" s="2">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2">
        <v>45663</v>
      </c>
      <c r="G131" s="2">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2">
        <v>45663</v>
      </c>
      <c r="G132" s="2">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2">
        <v>45663</v>
      </c>
      <c r="G133" s="2">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2">
        <v>45663</v>
      </c>
      <c r="G134" s="2">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2">
        <v>45663</v>
      </c>
      <c r="G135" s="2">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2">
        <v>45663</v>
      </c>
      <c r="G136" s="2">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2">
        <v>45663</v>
      </c>
      <c r="G137" s="2">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2">
        <v>45663</v>
      </c>
      <c r="G138" s="2">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2">
        <v>45663</v>
      </c>
      <c r="G139" s="2">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2">
        <v>45663</v>
      </c>
      <c r="G140" s="2">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2">
        <v>45663</v>
      </c>
      <c r="G141" s="2">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2">
        <v>45663</v>
      </c>
      <c r="G142" s="2">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2">
        <v>45663</v>
      </c>
      <c r="G143" s="2">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2">
        <v>45663</v>
      </c>
      <c r="G144" s="2">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2">
        <v>45663</v>
      </c>
      <c r="G145" s="2">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2">
        <v>45663</v>
      </c>
      <c r="G146" s="2">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2">
        <v>45663</v>
      </c>
      <c r="G147" s="2">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2">
        <v>45663</v>
      </c>
      <c r="G148" s="2">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2">
        <v>45663</v>
      </c>
      <c r="G149" s="2">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2">
        <v>45663</v>
      </c>
      <c r="G150" s="2">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2">
        <v>45663</v>
      </c>
      <c r="G151" s="2">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2">
        <v>45663</v>
      </c>
      <c r="G152" s="2">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2">
        <v>45664</v>
      </c>
      <c r="G153" s="2">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2">
        <v>45664</v>
      </c>
      <c r="G154" s="2">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2">
        <v>45664</v>
      </c>
      <c r="G155" s="2">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2">
        <v>45664</v>
      </c>
      <c r="G156" s="2">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2">
        <v>45664</v>
      </c>
      <c r="G157" s="2">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2">
        <v>45664</v>
      </c>
      <c r="G158" s="2">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2">
        <v>45664</v>
      </c>
      <c r="G159" s="2">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2">
        <v>45664</v>
      </c>
      <c r="G160" s="2">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2">
        <v>45664</v>
      </c>
      <c r="G161" s="2">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2">
        <v>45664</v>
      </c>
      <c r="G162" s="2">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2">
        <v>45664</v>
      </c>
      <c r="G163" s="2">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2">
        <v>45664</v>
      </c>
      <c r="G164" s="2">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2">
        <v>45664</v>
      </c>
      <c r="G165" s="2">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2">
        <v>45664</v>
      </c>
      <c r="G166" s="2">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2">
        <v>45664</v>
      </c>
      <c r="G167" s="2">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2">
        <v>45664</v>
      </c>
      <c r="G168" s="2">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2">
        <v>45664</v>
      </c>
      <c r="G169" s="2">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2">
        <v>45664</v>
      </c>
      <c r="G170" s="2">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2">
        <v>45664</v>
      </c>
      <c r="G171" s="2">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2">
        <v>45664</v>
      </c>
      <c r="G172" s="2">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2">
        <v>45664</v>
      </c>
      <c r="G173" s="2">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2">
        <v>45664</v>
      </c>
      <c r="G174" s="2">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2">
        <v>45664</v>
      </c>
      <c r="G175" s="2">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2">
        <v>45664</v>
      </c>
      <c r="G176" s="2">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2">
        <v>45664</v>
      </c>
      <c r="G177" s="2">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2">
        <v>45664</v>
      </c>
      <c r="G178" s="2">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2">
        <v>45664</v>
      </c>
      <c r="G179" s="2">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2">
        <v>45664</v>
      </c>
      <c r="G180" s="2">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2">
        <v>45664</v>
      </c>
      <c r="G181" s="2">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2">
        <v>45664</v>
      </c>
      <c r="G182" s="2">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2">
        <v>45664</v>
      </c>
      <c r="G183" s="2">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2">
        <v>45665</v>
      </c>
      <c r="G184" s="2">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2">
        <v>45665</v>
      </c>
      <c r="G185" s="2">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2">
        <v>45665</v>
      </c>
      <c r="G186" s="2">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2">
        <v>45665</v>
      </c>
      <c r="G187" s="2">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2">
        <v>45665</v>
      </c>
      <c r="G188" s="2">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2">
        <v>45665</v>
      </c>
      <c r="G189" s="2">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2">
        <v>45665</v>
      </c>
      <c r="G190" s="2">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2">
        <v>45665</v>
      </c>
      <c r="G191" s="2">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2">
        <v>45665</v>
      </c>
      <c r="G192" s="2">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2">
        <v>45665</v>
      </c>
      <c r="G193" s="2">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2">
        <v>45665</v>
      </c>
      <c r="G194" s="2">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2">
        <v>45665</v>
      </c>
      <c r="G195" s="2">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2">
        <v>45665</v>
      </c>
      <c r="G196" s="2">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2">
        <v>45665</v>
      </c>
      <c r="G197" s="2">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2">
        <v>45665</v>
      </c>
      <c r="G198" s="2">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2">
        <v>45665</v>
      </c>
      <c r="G199" s="2">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2">
        <v>45665</v>
      </c>
      <c r="G200" s="2">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2">
        <v>45665</v>
      </c>
      <c r="G201" s="2">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2">
        <v>45665</v>
      </c>
      <c r="G202" s="2">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2">
        <v>45665</v>
      </c>
      <c r="G203" s="2">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2">
        <v>45666</v>
      </c>
      <c r="G204" s="2">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2">
        <v>45666</v>
      </c>
      <c r="G205" s="2">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2">
        <v>45666</v>
      </c>
      <c r="G206" s="2">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2">
        <v>45666</v>
      </c>
      <c r="G207" s="2">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2">
        <v>45666</v>
      </c>
      <c r="G208" s="2">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2">
        <v>45666</v>
      </c>
      <c r="G209" s="2">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2">
        <v>45666</v>
      </c>
      <c r="G210" s="2">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2">
        <v>45666</v>
      </c>
      <c r="G211" s="2">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2">
        <v>45666</v>
      </c>
      <c r="G212" s="2">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2">
        <v>45666</v>
      </c>
      <c r="G213" s="2">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2">
        <v>45666</v>
      </c>
      <c r="G214" s="2">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2">
        <v>45666</v>
      </c>
      <c r="G215" s="2">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2">
        <v>45666</v>
      </c>
      <c r="G216" s="2">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2">
        <v>45666</v>
      </c>
      <c r="G217" s="2">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2">
        <v>45666</v>
      </c>
      <c r="G218" s="2">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2">
        <v>45666</v>
      </c>
      <c r="G219" s="2">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2">
        <v>45667</v>
      </c>
      <c r="G220" s="2">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2">
        <v>45667</v>
      </c>
      <c r="G221" s="2">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2">
        <v>45667</v>
      </c>
      <c r="G222" s="2">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2">
        <v>45667</v>
      </c>
      <c r="G223" s="2">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2">
        <v>45667</v>
      </c>
      <c r="G224" s="2">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2">
        <v>45667</v>
      </c>
      <c r="G225" s="2">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2">
        <v>45667</v>
      </c>
      <c r="G226" s="2">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2">
        <v>45667</v>
      </c>
      <c r="G227" s="2">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2">
        <v>45667</v>
      </c>
      <c r="G228" s="2">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2">
        <v>45667</v>
      </c>
      <c r="G229" s="2">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2">
        <v>45667</v>
      </c>
      <c r="G230" s="2">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2">
        <v>45667</v>
      </c>
      <c r="G231" s="2">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2">
        <v>45667</v>
      </c>
      <c r="G232" s="2">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2">
        <v>45667</v>
      </c>
      <c r="G233" s="2">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2">
        <v>45667</v>
      </c>
      <c r="G234" s="2">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2">
        <v>45667</v>
      </c>
      <c r="G235" s="2">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2">
        <v>45667</v>
      </c>
      <c r="G236" s="2">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2">
        <v>45667</v>
      </c>
      <c r="G237" s="2">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2">
        <v>45667</v>
      </c>
      <c r="G238" s="2">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2">
        <v>45667</v>
      </c>
      <c r="G239" s="2">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2">
        <v>45667</v>
      </c>
      <c r="G240" s="2">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2">
        <v>45667</v>
      </c>
      <c r="G241" s="2">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2">
        <v>45667</v>
      </c>
      <c r="G242" s="2">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2">
        <v>45667</v>
      </c>
      <c r="G243" s="2">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2">
        <v>45668</v>
      </c>
      <c r="G244" s="2">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2">
        <v>45668</v>
      </c>
      <c r="G245" s="2">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2">
        <v>45668</v>
      </c>
      <c r="G246" s="2">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2">
        <v>45668</v>
      </c>
      <c r="G247" s="2">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2">
        <v>45668</v>
      </c>
      <c r="G248" s="2">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2">
        <v>45668</v>
      </c>
      <c r="G249" s="2">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2">
        <v>45668</v>
      </c>
      <c r="G250" s="2">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2">
        <v>45668</v>
      </c>
      <c r="G251" s="2">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2">
        <v>45668</v>
      </c>
      <c r="G252" s="2">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2">
        <v>45668</v>
      </c>
      <c r="G253" s="2">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2">
        <v>45668</v>
      </c>
      <c r="G254" s="2">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2">
        <v>45668</v>
      </c>
      <c r="G255" s="2">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2">
        <v>45668</v>
      </c>
      <c r="G256" s="2">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2">
        <v>45668</v>
      </c>
      <c r="G257" s="2">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2">
        <v>45669</v>
      </c>
      <c r="G258" s="2">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2">
        <v>45669</v>
      </c>
      <c r="G259" s="2">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2">
        <v>45669</v>
      </c>
      <c r="G260" s="2">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2">
        <v>45669</v>
      </c>
      <c r="G261" s="2">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2">
        <v>45669</v>
      </c>
      <c r="G262" s="2">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2">
        <v>45669</v>
      </c>
      <c r="G263" s="2">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2">
        <v>45669</v>
      </c>
      <c r="G264" s="2">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2">
        <v>45669</v>
      </c>
      <c r="G265" s="2">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2">
        <v>45669</v>
      </c>
      <c r="G266" s="2">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2">
        <v>45669</v>
      </c>
      <c r="G267" s="2">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2">
        <v>45669</v>
      </c>
      <c r="G268" s="2">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2">
        <v>45669</v>
      </c>
      <c r="G269" s="2">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2">
        <v>45669</v>
      </c>
      <c r="G270" s="2">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2">
        <v>45669</v>
      </c>
      <c r="G271" s="2">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2">
        <v>45669</v>
      </c>
      <c r="G272" s="2">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2">
        <v>45669</v>
      </c>
      <c r="G273" s="2">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2">
        <v>45669</v>
      </c>
      <c r="G274" s="2">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2">
        <v>45669</v>
      </c>
      <c r="G275" s="2">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2">
        <v>45669</v>
      </c>
      <c r="G276" s="2">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2">
        <v>45669</v>
      </c>
      <c r="G277" s="2">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2">
        <v>45669</v>
      </c>
      <c r="G278" s="2">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2">
        <v>45669</v>
      </c>
      <c r="G279" s="2">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2">
        <v>45670</v>
      </c>
      <c r="G280" s="2">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2">
        <v>45670</v>
      </c>
      <c r="G281" s="2">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2">
        <v>45670</v>
      </c>
      <c r="G282" s="2">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2">
        <v>45670</v>
      </c>
      <c r="G283" s="2">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2">
        <v>45670</v>
      </c>
      <c r="G284" s="2">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2">
        <v>45670</v>
      </c>
      <c r="G285" s="2">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2">
        <v>45670</v>
      </c>
      <c r="G286" s="2">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2">
        <v>45670</v>
      </c>
      <c r="G287" s="2">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2">
        <v>45670</v>
      </c>
      <c r="G288" s="2">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2">
        <v>45670</v>
      </c>
      <c r="G289" s="2">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2">
        <v>45670</v>
      </c>
      <c r="G290" s="2">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2">
        <v>45670</v>
      </c>
      <c r="G291" s="2">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2">
        <v>45670</v>
      </c>
      <c r="G292" s="2">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2">
        <v>45670</v>
      </c>
      <c r="G293" s="2">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2">
        <v>45670</v>
      </c>
      <c r="G294" s="2">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2">
        <v>45670</v>
      </c>
      <c r="G295" s="2">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2">
        <v>45670</v>
      </c>
      <c r="G296" s="2">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2">
        <v>45670</v>
      </c>
      <c r="G297" s="2">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2">
        <v>45670</v>
      </c>
      <c r="G298" s="2">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2">
        <v>45670</v>
      </c>
      <c r="G299" s="2">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2">
        <v>45670</v>
      </c>
      <c r="G300" s="2">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2">
        <v>45670</v>
      </c>
      <c r="G301" s="2">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2">
        <v>45670</v>
      </c>
      <c r="G302" s="2">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2">
        <v>45670</v>
      </c>
      <c r="G303" s="2">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2">
        <v>45670</v>
      </c>
      <c r="G304" s="2">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2">
        <v>45670</v>
      </c>
      <c r="G305" s="2">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2">
        <v>45670</v>
      </c>
      <c r="G306" s="2">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2">
        <v>45670</v>
      </c>
      <c r="G307" s="2">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2">
        <v>45670</v>
      </c>
      <c r="G308" s="2">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2">
        <v>45670</v>
      </c>
      <c r="G309" s="2">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2">
        <v>45671</v>
      </c>
      <c r="G310" s="2">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2">
        <v>45671</v>
      </c>
      <c r="G311" s="2">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2">
        <v>45671</v>
      </c>
      <c r="G312" s="2">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2">
        <v>45671</v>
      </c>
      <c r="G313" s="2">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2">
        <v>45671</v>
      </c>
      <c r="G314" s="2">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2">
        <v>45671</v>
      </c>
      <c r="G315" s="2">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2">
        <v>45671</v>
      </c>
      <c r="G316" s="2">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2">
        <v>45671</v>
      </c>
      <c r="G317" s="2">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2">
        <v>45671</v>
      </c>
      <c r="G318" s="2">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2">
        <v>45671</v>
      </c>
      <c r="G319" s="2">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2">
        <v>45671</v>
      </c>
      <c r="G320" s="2">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2">
        <v>45671</v>
      </c>
      <c r="G321" s="2">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2">
        <v>45671</v>
      </c>
      <c r="G322" s="2">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2">
        <v>45671</v>
      </c>
      <c r="G323" s="2">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2">
        <v>45671</v>
      </c>
      <c r="G324" s="2">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2">
        <v>45671</v>
      </c>
      <c r="G325" s="2">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2">
        <v>45671</v>
      </c>
      <c r="G326" s="2">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2">
        <v>45672</v>
      </c>
      <c r="G327" s="2">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2">
        <v>45672</v>
      </c>
      <c r="G328" s="2">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2">
        <v>45672</v>
      </c>
      <c r="G329" s="2">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2">
        <v>45672</v>
      </c>
      <c r="G330" s="2">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2">
        <v>45672</v>
      </c>
      <c r="G331" s="2">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2">
        <v>45672</v>
      </c>
      <c r="G332" s="2">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2">
        <v>45672</v>
      </c>
      <c r="G333" s="2">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2">
        <v>45672</v>
      </c>
      <c r="G334" s="2">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2">
        <v>45672</v>
      </c>
      <c r="G335" s="2">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2">
        <v>45672</v>
      </c>
      <c r="G336" s="2">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2">
        <v>45672</v>
      </c>
      <c r="G337" s="2">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2">
        <v>45672</v>
      </c>
      <c r="G338" s="2">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2">
        <v>45672</v>
      </c>
      <c r="G339" s="2">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2">
        <v>45672</v>
      </c>
      <c r="G340" s="2">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2">
        <v>45672</v>
      </c>
      <c r="G341" s="2">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2">
        <v>45672</v>
      </c>
      <c r="G342" s="2">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2">
        <v>45672</v>
      </c>
      <c r="G343" s="2">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2">
        <v>45672</v>
      </c>
      <c r="G344" s="2">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2">
        <v>45672</v>
      </c>
      <c r="G345" s="2">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2">
        <v>45672</v>
      </c>
      <c r="G346" s="2">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2">
        <v>45672</v>
      </c>
      <c r="G347" s="2">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2">
        <v>45672</v>
      </c>
      <c r="G348" s="2">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2">
        <v>45672</v>
      </c>
      <c r="G349" s="2">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2">
        <v>45672</v>
      </c>
      <c r="G350" s="2">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2">
        <v>45672</v>
      </c>
      <c r="G351" s="2">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2">
        <v>45672</v>
      </c>
      <c r="G352" s="2">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2">
        <v>45672</v>
      </c>
      <c r="G353" s="2">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2">
        <v>45672</v>
      </c>
      <c r="G354" s="2">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2">
        <v>45673</v>
      </c>
      <c r="G355" s="2">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2">
        <v>45673</v>
      </c>
      <c r="G356" s="2">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2">
        <v>45673</v>
      </c>
      <c r="G357" s="2">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2">
        <v>45673</v>
      </c>
      <c r="G358" s="2">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2">
        <v>45673</v>
      </c>
      <c r="G359" s="2">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2">
        <v>45673</v>
      </c>
      <c r="G360" s="2">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2">
        <v>45673</v>
      </c>
      <c r="G361" s="2">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2">
        <v>45673</v>
      </c>
      <c r="G362" s="2">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2">
        <v>45673</v>
      </c>
      <c r="G363" s="2">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2">
        <v>45673</v>
      </c>
      <c r="G364" s="2">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2">
        <v>45673</v>
      </c>
      <c r="G365" s="2">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2">
        <v>45673</v>
      </c>
      <c r="G366" s="2">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2">
        <v>45673</v>
      </c>
      <c r="G367" s="2">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2">
        <v>45673</v>
      </c>
      <c r="G368" s="2">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2">
        <v>45673</v>
      </c>
      <c r="G369" s="2">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2">
        <v>45673</v>
      </c>
      <c r="G370" s="2">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2">
        <v>45673</v>
      </c>
      <c r="G371" s="2">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2">
        <v>45673</v>
      </c>
      <c r="G372" s="2">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2">
        <v>45674</v>
      </c>
      <c r="G373" s="2">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2">
        <v>45674</v>
      </c>
      <c r="G374" s="2">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2">
        <v>45674</v>
      </c>
      <c r="G375" s="2">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2">
        <v>45674</v>
      </c>
      <c r="G376" s="2">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2">
        <v>45674</v>
      </c>
      <c r="G377" s="2">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2">
        <v>45674</v>
      </c>
      <c r="G378" s="2">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2">
        <v>45674</v>
      </c>
      <c r="G379" s="2">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2">
        <v>45674</v>
      </c>
      <c r="G380" s="2">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2">
        <v>45674</v>
      </c>
      <c r="G381" s="2">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2">
        <v>45674</v>
      </c>
      <c r="G382" s="2">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2">
        <v>45674</v>
      </c>
      <c r="G383" s="2">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2">
        <v>45674</v>
      </c>
      <c r="G384" s="2">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2">
        <v>45674</v>
      </c>
      <c r="G385" s="2">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2">
        <v>45674</v>
      </c>
      <c r="G386" s="2">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2">
        <v>45674</v>
      </c>
      <c r="G387" s="2">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2">
        <v>45674</v>
      </c>
      <c r="G388" s="2">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2">
        <v>45674</v>
      </c>
      <c r="G389" s="2">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2">
        <v>45674</v>
      </c>
      <c r="G390" s="2">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2">
        <v>45674</v>
      </c>
      <c r="G391" s="2">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2">
        <v>45674</v>
      </c>
      <c r="G392" s="2">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2">
        <v>45675</v>
      </c>
      <c r="G393" s="2">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2">
        <v>45675</v>
      </c>
      <c r="G394" s="2">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2">
        <v>45675</v>
      </c>
      <c r="G395" s="2">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2">
        <v>45675</v>
      </c>
      <c r="G396" s="2">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2">
        <v>45675</v>
      </c>
      <c r="G397" s="2">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2">
        <v>45675</v>
      </c>
      <c r="G398" s="2">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2">
        <v>45675</v>
      </c>
      <c r="G399" s="2">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2">
        <v>45675</v>
      </c>
      <c r="G400" s="2">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2">
        <v>45675</v>
      </c>
      <c r="G401" s="2">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2">
        <v>45675</v>
      </c>
      <c r="G402" s="2">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2">
        <v>45675</v>
      </c>
      <c r="G403" s="2">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2">
        <v>45675</v>
      </c>
      <c r="G404" s="2">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2">
        <v>45675</v>
      </c>
      <c r="G405" s="2">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2">
        <v>45675</v>
      </c>
      <c r="G406" s="2">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2">
        <v>45675</v>
      </c>
      <c r="G407" s="2">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2">
        <v>45675</v>
      </c>
      <c r="G408" s="2">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2">
        <v>45676</v>
      </c>
      <c r="G409" s="2">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2">
        <v>45676</v>
      </c>
      <c r="G410" s="2">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2">
        <v>45676</v>
      </c>
      <c r="G411" s="2">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2">
        <v>45676</v>
      </c>
      <c r="G412" s="2">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2">
        <v>45676</v>
      </c>
      <c r="G413" s="2">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2">
        <v>45676</v>
      </c>
      <c r="G414" s="2">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2">
        <v>45676</v>
      </c>
      <c r="G415" s="2">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2">
        <v>45676</v>
      </c>
      <c r="G416" s="2">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2">
        <v>45676</v>
      </c>
      <c r="G417" s="2">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2">
        <v>45676</v>
      </c>
      <c r="G418" s="2">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2">
        <v>45676</v>
      </c>
      <c r="G419" s="2">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2">
        <v>45676</v>
      </c>
      <c r="G420" s="2">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2">
        <v>45676</v>
      </c>
      <c r="G421" s="2">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2">
        <v>45676</v>
      </c>
      <c r="G422" s="2">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2">
        <v>45676</v>
      </c>
      <c r="G423" s="2">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2">
        <v>45676</v>
      </c>
      <c r="G424" s="2">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2">
        <v>45676</v>
      </c>
      <c r="G425" s="2">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2">
        <v>45676</v>
      </c>
      <c r="G426" s="2">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2">
        <v>45676</v>
      </c>
      <c r="G427" s="2">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2">
        <v>45676</v>
      </c>
      <c r="G428" s="2">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2">
        <v>45676</v>
      </c>
      <c r="G429" s="2">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2">
        <v>45676</v>
      </c>
      <c r="G430" s="2">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2">
        <v>45676</v>
      </c>
      <c r="G431" s="2">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2">
        <v>45676</v>
      </c>
      <c r="G432" s="2">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2">
        <v>45676</v>
      </c>
      <c r="G433" s="2">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2">
        <v>45676</v>
      </c>
      <c r="G434" s="2">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2">
        <v>45676</v>
      </c>
      <c r="G435" s="2">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2">
        <v>45676</v>
      </c>
      <c r="G436" s="2">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2">
        <v>45676</v>
      </c>
      <c r="G437" s="2">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2">
        <v>45676</v>
      </c>
      <c r="G438" s="2">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2">
        <v>45676</v>
      </c>
      <c r="G439" s="2">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2">
        <v>45677</v>
      </c>
      <c r="G440" s="2">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2">
        <v>45677</v>
      </c>
      <c r="G441" s="2">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2">
        <v>45677</v>
      </c>
      <c r="G442" s="2">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2">
        <v>45677</v>
      </c>
      <c r="G443" s="2">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2">
        <v>45677</v>
      </c>
      <c r="G444" s="2">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2">
        <v>45677</v>
      </c>
      <c r="G445" s="2">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2">
        <v>45677</v>
      </c>
      <c r="G446" s="2">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2">
        <v>45677</v>
      </c>
      <c r="G447" s="2">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2">
        <v>45677</v>
      </c>
      <c r="G448" s="2">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2">
        <v>45677</v>
      </c>
      <c r="G449" s="2">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2">
        <v>45677</v>
      </c>
      <c r="G450" s="2">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2">
        <v>45677</v>
      </c>
      <c r="G451" s="2">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2">
        <v>45677</v>
      </c>
      <c r="G452" s="2">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2">
        <v>45677</v>
      </c>
      <c r="G453" s="2">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2">
        <v>45677</v>
      </c>
      <c r="G454" s="2">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2">
        <v>45677</v>
      </c>
      <c r="G455" s="2">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2">
        <v>45677</v>
      </c>
      <c r="G456" s="2">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2">
        <v>45677</v>
      </c>
      <c r="G457" s="2">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2">
        <v>45677</v>
      </c>
      <c r="G458" s="2">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2">
        <v>45678</v>
      </c>
      <c r="G459" s="2">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2">
        <v>45678</v>
      </c>
      <c r="G460" s="2">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2">
        <v>45678</v>
      </c>
      <c r="G461" s="2">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2">
        <v>45678</v>
      </c>
      <c r="G462" s="2">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2">
        <v>45678</v>
      </c>
      <c r="G463" s="2">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2">
        <v>45678</v>
      </c>
      <c r="G464" s="2">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2">
        <v>45678</v>
      </c>
      <c r="G465" s="2">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2">
        <v>45678</v>
      </c>
      <c r="G466" s="2">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2">
        <v>45678</v>
      </c>
      <c r="G467" s="2">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2">
        <v>45678</v>
      </c>
      <c r="G468" s="2">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2">
        <v>45678</v>
      </c>
      <c r="G469" s="2">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2">
        <v>45678</v>
      </c>
      <c r="G470" s="2">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2">
        <v>45678</v>
      </c>
      <c r="G471" s="2">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2">
        <v>45678</v>
      </c>
      <c r="G472" s="2">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2">
        <v>45678</v>
      </c>
      <c r="G473" s="2">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2">
        <v>45678</v>
      </c>
      <c r="G474" s="2">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2">
        <v>45678</v>
      </c>
      <c r="G475" s="2">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2">
        <v>45678</v>
      </c>
      <c r="G476" s="2">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2">
        <v>45678</v>
      </c>
      <c r="G477" s="2">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2">
        <v>45678</v>
      </c>
      <c r="G478" s="2">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2">
        <v>45678</v>
      </c>
      <c r="G479" s="2">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2">
        <v>45678</v>
      </c>
      <c r="G480" s="2">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2">
        <v>45678</v>
      </c>
      <c r="G481" s="2">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2">
        <v>45678</v>
      </c>
      <c r="G482" s="2">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2">
        <v>45678</v>
      </c>
      <c r="G483" s="2">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2">
        <v>45679</v>
      </c>
      <c r="G484" s="2">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2">
        <v>45679</v>
      </c>
      <c r="G485" s="2">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2">
        <v>45679</v>
      </c>
      <c r="G486" s="2">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2">
        <v>45679</v>
      </c>
      <c r="G487" s="2">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2">
        <v>45679</v>
      </c>
      <c r="G488" s="2">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2">
        <v>45679</v>
      </c>
      <c r="G489" s="2">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2">
        <v>45679</v>
      </c>
      <c r="G490" s="2">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2">
        <v>45679</v>
      </c>
      <c r="G491" s="2">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2">
        <v>45679</v>
      </c>
      <c r="G492" s="2">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2">
        <v>45679</v>
      </c>
      <c r="G493" s="2">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2">
        <v>45679</v>
      </c>
      <c r="G494" s="2">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2">
        <v>45679</v>
      </c>
      <c r="G495" s="2">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2">
        <v>45679</v>
      </c>
      <c r="G496" s="2">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2">
        <v>45679</v>
      </c>
      <c r="G497" s="2">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2">
        <v>45679</v>
      </c>
      <c r="G498" s="2">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2">
        <v>45679</v>
      </c>
      <c r="G499" s="2">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2">
        <v>45679</v>
      </c>
      <c r="G500" s="2">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2">
        <v>45679</v>
      </c>
      <c r="G501" s="2">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2">
        <v>45679</v>
      </c>
      <c r="G502" s="2">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2">
        <v>45679</v>
      </c>
      <c r="G503" s="2">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2">
        <v>45679</v>
      </c>
      <c r="G504" s="2">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2">
        <v>45679</v>
      </c>
      <c r="G505" s="2">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2">
        <v>45679</v>
      </c>
      <c r="G506" s="2">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2">
        <v>45679</v>
      </c>
      <c r="G507" s="2">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2">
        <v>45679</v>
      </c>
      <c r="G508" s="2">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2">
        <v>45679</v>
      </c>
      <c r="G509" s="2">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2">
        <v>45679</v>
      </c>
      <c r="G510" s="2">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2">
        <v>45679</v>
      </c>
      <c r="G511" s="2">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2">
        <v>45679</v>
      </c>
      <c r="G512" s="2">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2">
        <v>45679</v>
      </c>
      <c r="G513" s="2">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2">
        <v>45679</v>
      </c>
      <c r="G514" s="2">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2">
        <v>45679</v>
      </c>
      <c r="G515" s="2">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2">
        <v>45680</v>
      </c>
      <c r="G516" s="2">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2">
        <v>45680</v>
      </c>
      <c r="G517" s="2">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2">
        <v>45680</v>
      </c>
      <c r="G518" s="2">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2">
        <v>45680</v>
      </c>
      <c r="G519" s="2">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2">
        <v>45680</v>
      </c>
      <c r="G520" s="2">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2">
        <v>45680</v>
      </c>
      <c r="G521" s="2">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2">
        <v>45680</v>
      </c>
      <c r="G522" s="2">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2">
        <v>45680</v>
      </c>
      <c r="G523" s="2">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2">
        <v>45680</v>
      </c>
      <c r="G524" s="2">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2">
        <v>45680</v>
      </c>
      <c r="G525" s="2">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2">
        <v>45680</v>
      </c>
      <c r="G526" s="2">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2">
        <v>45680</v>
      </c>
      <c r="G527" s="2">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2">
        <v>45680</v>
      </c>
      <c r="G528" s="2">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2">
        <v>45680</v>
      </c>
      <c r="G529" s="2">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2">
        <v>45680</v>
      </c>
      <c r="G530" s="2">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2">
        <v>45680</v>
      </c>
      <c r="G531" s="2">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2">
        <v>45680</v>
      </c>
      <c r="G532" s="2">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2">
        <v>45680</v>
      </c>
      <c r="G533" s="2">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2">
        <v>45680</v>
      </c>
      <c r="G534" s="2">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2">
        <v>45680</v>
      </c>
      <c r="G535" s="2">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2">
        <v>45680</v>
      </c>
      <c r="G536" s="2">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2">
        <v>45680</v>
      </c>
      <c r="G537" s="2">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2">
        <v>45680</v>
      </c>
      <c r="G538" s="2">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2">
        <v>45680</v>
      </c>
      <c r="G539" s="2">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2">
        <v>45680</v>
      </c>
      <c r="G540" s="2">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2">
        <v>45680</v>
      </c>
      <c r="G541" s="2">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2">
        <v>45680</v>
      </c>
      <c r="G542" s="2">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2">
        <v>45680</v>
      </c>
      <c r="G543" s="2">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2">
        <v>45680</v>
      </c>
      <c r="G544" s="2">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2">
        <v>45680</v>
      </c>
      <c r="G545" s="2">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2">
        <v>45680</v>
      </c>
      <c r="G546" s="2">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2">
        <v>45681</v>
      </c>
      <c r="G547" s="2">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2">
        <v>45681</v>
      </c>
      <c r="G548" s="2">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2">
        <v>45681</v>
      </c>
      <c r="G549" s="2">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2">
        <v>45681</v>
      </c>
      <c r="G550" s="2">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2">
        <v>45681</v>
      </c>
      <c r="G551" s="2">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2">
        <v>45681</v>
      </c>
      <c r="G552" s="2">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2">
        <v>45681</v>
      </c>
      <c r="G553" s="2">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2">
        <v>45681</v>
      </c>
      <c r="G554" s="2">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2">
        <v>45681</v>
      </c>
      <c r="G555" s="2">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2">
        <v>45681</v>
      </c>
      <c r="G556" s="2">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2">
        <v>45681</v>
      </c>
      <c r="G557" s="2">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2">
        <v>45681</v>
      </c>
      <c r="G558" s="2">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2">
        <v>45681</v>
      </c>
      <c r="G559" s="2">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2">
        <v>45681</v>
      </c>
      <c r="G560" s="2">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2">
        <v>45681</v>
      </c>
      <c r="G561" s="2">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2">
        <v>45681</v>
      </c>
      <c r="G562" s="2">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2">
        <v>45681</v>
      </c>
      <c r="G563" s="2">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2">
        <v>45681</v>
      </c>
      <c r="G564" s="2">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2">
        <v>45682</v>
      </c>
      <c r="G565" s="2">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2">
        <v>45682</v>
      </c>
      <c r="G566" s="2">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2">
        <v>45682</v>
      </c>
      <c r="G567" s="2">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2">
        <v>45682</v>
      </c>
      <c r="G568" s="2">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2">
        <v>45682</v>
      </c>
      <c r="G569" s="2">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2">
        <v>45682</v>
      </c>
      <c r="G570" s="2">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2">
        <v>45682</v>
      </c>
      <c r="G571" s="2">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2">
        <v>45682</v>
      </c>
      <c r="G572" s="2">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2">
        <v>45682</v>
      </c>
      <c r="G573" s="2">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2">
        <v>45682</v>
      </c>
      <c r="G574" s="2">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2">
        <v>45682</v>
      </c>
      <c r="G575" s="2">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2">
        <v>45682</v>
      </c>
      <c r="G576" s="2">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2">
        <v>45682</v>
      </c>
      <c r="G577" s="2">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2">
        <v>45682</v>
      </c>
      <c r="G578" s="2">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2">
        <v>45682</v>
      </c>
      <c r="G579" s="2">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2">
        <v>45682</v>
      </c>
      <c r="G580" s="2">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2">
        <v>45682</v>
      </c>
      <c r="G581" s="2">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2">
        <v>45682</v>
      </c>
      <c r="G582" s="2">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2">
        <v>45682</v>
      </c>
      <c r="G583" s="2">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2">
        <v>45683</v>
      </c>
      <c r="G584" s="2">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2">
        <v>45683</v>
      </c>
      <c r="G585" s="2">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2">
        <v>45683</v>
      </c>
      <c r="G586" s="2">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2">
        <v>45683</v>
      </c>
      <c r="G587" s="2">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2">
        <v>45683</v>
      </c>
      <c r="G588" s="2">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2">
        <v>45683</v>
      </c>
      <c r="G589" s="2">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2">
        <v>45683</v>
      </c>
      <c r="G590" s="2">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2">
        <v>45683</v>
      </c>
      <c r="G591" s="2">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2">
        <v>45683</v>
      </c>
      <c r="G592" s="2">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2">
        <v>45683</v>
      </c>
      <c r="G593" s="2">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2">
        <v>45683</v>
      </c>
      <c r="G594" s="2">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2">
        <v>45683</v>
      </c>
      <c r="G595" s="2">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2">
        <v>45683</v>
      </c>
      <c r="G596" s="2">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2">
        <v>45683</v>
      </c>
      <c r="G597" s="2">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2">
        <v>45683</v>
      </c>
      <c r="G598" s="2">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2">
        <v>45683</v>
      </c>
      <c r="G599" s="2">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2">
        <v>45683</v>
      </c>
      <c r="G600" s="2">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2">
        <v>45683</v>
      </c>
      <c r="G601" s="2">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2">
        <v>45683</v>
      </c>
      <c r="G602" s="2">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2">
        <v>45683</v>
      </c>
      <c r="G603" s="2">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2">
        <v>45683</v>
      </c>
      <c r="G604" s="2">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2">
        <v>45683</v>
      </c>
      <c r="G605" s="2">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2">
        <v>45683</v>
      </c>
      <c r="G606" s="2">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2">
        <v>45683</v>
      </c>
      <c r="G607" s="2">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2">
        <v>45683</v>
      </c>
      <c r="G608" s="2">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2">
        <v>45683</v>
      </c>
      <c r="G609" s="2">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2">
        <v>45683</v>
      </c>
      <c r="G610" s="2">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2">
        <v>45683</v>
      </c>
      <c r="G611" s="2">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2">
        <v>45683</v>
      </c>
      <c r="G612" s="2">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2">
        <v>45683</v>
      </c>
      <c r="G613" s="2">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2">
        <v>45683</v>
      </c>
      <c r="G614" s="2">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2">
        <v>45683</v>
      </c>
      <c r="G615" s="2">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2">
        <v>45683</v>
      </c>
      <c r="G616" s="2">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2">
        <v>45683</v>
      </c>
      <c r="G617" s="2">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2">
        <v>45683</v>
      </c>
      <c r="G618" s="2">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2">
        <v>45684</v>
      </c>
      <c r="G619" s="2">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2">
        <v>45684</v>
      </c>
      <c r="G620" s="2">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2">
        <v>45684</v>
      </c>
      <c r="G621" s="2">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2">
        <v>45684</v>
      </c>
      <c r="G622" s="2">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2">
        <v>45684</v>
      </c>
      <c r="G623" s="2">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2">
        <v>45684</v>
      </c>
      <c r="G624" s="2">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2">
        <v>45684</v>
      </c>
      <c r="G625" s="2">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2">
        <v>45684</v>
      </c>
      <c r="G626" s="2">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2">
        <v>45684</v>
      </c>
      <c r="G627" s="2">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2">
        <v>45684</v>
      </c>
      <c r="G628" s="2">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2">
        <v>45684</v>
      </c>
      <c r="G629" s="2">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2">
        <v>45684</v>
      </c>
      <c r="G630" s="2">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2">
        <v>45684</v>
      </c>
      <c r="G631" s="2">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2">
        <v>45685</v>
      </c>
      <c r="G632" s="2">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2">
        <v>45685</v>
      </c>
      <c r="G633" s="2">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2">
        <v>45685</v>
      </c>
      <c r="G634" s="2">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2">
        <v>45685</v>
      </c>
      <c r="G635" s="2">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2">
        <v>45685</v>
      </c>
      <c r="G636" s="2">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2">
        <v>45685</v>
      </c>
      <c r="G637" s="2">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2">
        <v>45685</v>
      </c>
      <c r="G638" s="2">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2">
        <v>45685</v>
      </c>
      <c r="G639" s="2">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2">
        <v>45685</v>
      </c>
      <c r="G640" s="2">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2">
        <v>45685</v>
      </c>
      <c r="G641" s="2">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2">
        <v>45685</v>
      </c>
      <c r="G642" s="2">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2">
        <v>45685</v>
      </c>
      <c r="G643" s="2">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2">
        <v>45685</v>
      </c>
      <c r="G644" s="2">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2">
        <v>45685</v>
      </c>
      <c r="G645" s="2">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2">
        <v>45685</v>
      </c>
      <c r="G646" s="2">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2">
        <v>45685</v>
      </c>
      <c r="G647" s="2">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2">
        <v>45686</v>
      </c>
      <c r="G648" s="2">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2">
        <v>45686</v>
      </c>
      <c r="G649" s="2">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2">
        <v>45686</v>
      </c>
      <c r="G650" s="2">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2">
        <v>45686</v>
      </c>
      <c r="G651" s="2">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2">
        <v>45686</v>
      </c>
      <c r="G652" s="2">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2">
        <v>45686</v>
      </c>
      <c r="G653" s="2">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2">
        <v>45686</v>
      </c>
      <c r="G654" s="2">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2">
        <v>45686</v>
      </c>
      <c r="G655" s="2">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2">
        <v>45686</v>
      </c>
      <c r="G656" s="2">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2">
        <v>45686</v>
      </c>
      <c r="G657" s="2">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2">
        <v>45686</v>
      </c>
      <c r="G658" s="2">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2">
        <v>45686</v>
      </c>
      <c r="G659" s="2">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2">
        <v>45686</v>
      </c>
      <c r="G660" s="2">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2">
        <v>45686</v>
      </c>
      <c r="G661" s="2">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2">
        <v>45686</v>
      </c>
      <c r="G662" s="2">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2">
        <v>45686</v>
      </c>
      <c r="G663" s="2">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2">
        <v>45686</v>
      </c>
      <c r="G664" s="2">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2">
        <v>45686</v>
      </c>
      <c r="G665" s="2">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2">
        <v>45686</v>
      </c>
      <c r="G666" s="2">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2">
        <v>45686</v>
      </c>
      <c r="G667" s="2">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2">
        <v>45686</v>
      </c>
      <c r="G668" s="2">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2">
        <v>45686</v>
      </c>
      <c r="G669" s="2">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2">
        <v>45686</v>
      </c>
      <c r="G670" s="2">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2">
        <v>45686</v>
      </c>
      <c r="G671" s="2">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2">
        <v>45686</v>
      </c>
      <c r="G672" s="2">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2">
        <v>45686</v>
      </c>
      <c r="G673" s="2">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2">
        <v>45686</v>
      </c>
      <c r="G674" s="2">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2">
        <v>45686</v>
      </c>
      <c r="G675" s="2">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2">
        <v>45686</v>
      </c>
      <c r="G676" s="2">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2">
        <v>45686</v>
      </c>
      <c r="G677" s="2">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2">
        <v>45686</v>
      </c>
      <c r="G678" s="2">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2">
        <v>45686</v>
      </c>
      <c r="G679" s="2">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2">
        <v>45687</v>
      </c>
      <c r="G680" s="2">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2">
        <v>45687</v>
      </c>
      <c r="G681" s="2">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2">
        <v>45687</v>
      </c>
      <c r="G682" s="2">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2">
        <v>45687</v>
      </c>
      <c r="G683" s="2">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2">
        <v>45687</v>
      </c>
      <c r="G684" s="2">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2">
        <v>45687</v>
      </c>
      <c r="G685" s="2">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2">
        <v>45687</v>
      </c>
      <c r="G686" s="2">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2">
        <v>45687</v>
      </c>
      <c r="G687" s="2">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2">
        <v>45687</v>
      </c>
      <c r="G688" s="2">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2">
        <v>45687</v>
      </c>
      <c r="G689" s="2">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2">
        <v>45687</v>
      </c>
      <c r="G690" s="2">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2">
        <v>45687</v>
      </c>
      <c r="G691" s="2">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2">
        <v>45687</v>
      </c>
      <c r="G692" s="2">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2">
        <v>45687</v>
      </c>
      <c r="G693" s="2">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2">
        <v>45687</v>
      </c>
      <c r="G694" s="2">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2">
        <v>45687</v>
      </c>
      <c r="G695" s="2">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2">
        <v>45687</v>
      </c>
      <c r="G696" s="2">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2">
        <v>45687</v>
      </c>
      <c r="G697" s="2">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2">
        <v>45687</v>
      </c>
      <c r="G698" s="2">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2">
        <v>45687</v>
      </c>
      <c r="G699" s="2">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2">
        <v>45687</v>
      </c>
      <c r="G700" s="2">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2">
        <v>45687</v>
      </c>
      <c r="G701" s="2">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2">
        <v>45687</v>
      </c>
      <c r="G702" s="2">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2">
        <v>45687</v>
      </c>
      <c r="G703" s="2">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2">
        <v>45687</v>
      </c>
      <c r="G704" s="2">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2">
        <v>45687</v>
      </c>
      <c r="G705" s="2">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2">
        <v>45687</v>
      </c>
      <c r="G706" s="2">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2">
        <v>45687</v>
      </c>
      <c r="G707" s="2">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2">
        <v>45687</v>
      </c>
      <c r="G708" s="2">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2">
        <v>45688</v>
      </c>
      <c r="G709" s="2">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2">
        <v>45688</v>
      </c>
      <c r="G710" s="2">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2">
        <v>45688</v>
      </c>
      <c r="G711" s="2">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2">
        <v>45688</v>
      </c>
      <c r="G712" s="2">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2">
        <v>45688</v>
      </c>
      <c r="G713" s="2">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2">
        <v>45688</v>
      </c>
      <c r="G714" s="2">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2">
        <v>45688</v>
      </c>
      <c r="G715" s="2">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2">
        <v>45688</v>
      </c>
      <c r="G716" s="2">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2">
        <v>45688</v>
      </c>
      <c r="G717" s="2">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2">
        <v>45688</v>
      </c>
      <c r="G718" s="2">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2">
        <v>45688</v>
      </c>
      <c r="G719" s="2">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2">
        <v>45688</v>
      </c>
      <c r="G720" s="2">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2">
        <v>45688</v>
      </c>
      <c r="G721" s="2">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2">
        <v>45688</v>
      </c>
      <c r="G722" s="2">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2">
        <v>45688</v>
      </c>
      <c r="G723" s="2">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2">
        <v>45688</v>
      </c>
      <c r="G724" s="2">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2">
        <v>45688</v>
      </c>
      <c r="G725" s="2">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2">
        <v>45688</v>
      </c>
      <c r="G726" s="2">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2">
        <v>45688</v>
      </c>
      <c r="G727" s="2">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2">
        <v>45688</v>
      </c>
      <c r="G728" s="2">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2">
        <v>45688</v>
      </c>
      <c r="G729" s="2">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2">
        <v>45688</v>
      </c>
      <c r="G730" s="2">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2">
        <v>45688</v>
      </c>
      <c r="G731" s="2">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2">
        <v>45689</v>
      </c>
      <c r="G732" s="2">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2">
        <v>45689</v>
      </c>
      <c r="G733" s="2">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2">
        <v>45689</v>
      </c>
      <c r="G734" s="2">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2">
        <v>45689</v>
      </c>
      <c r="G735" s="2">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2">
        <v>45689</v>
      </c>
      <c r="G736" s="2">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2">
        <v>45689</v>
      </c>
      <c r="G737" s="2">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2">
        <v>45689</v>
      </c>
      <c r="G738" s="2">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2">
        <v>45689</v>
      </c>
      <c r="G739" s="2">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2">
        <v>45689</v>
      </c>
      <c r="G740" s="2">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2">
        <v>45689</v>
      </c>
      <c r="G741" s="2">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2">
        <v>45689</v>
      </c>
      <c r="G742" s="2">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2">
        <v>45689</v>
      </c>
      <c r="G743" s="2">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2">
        <v>45689</v>
      </c>
      <c r="G744" s="2">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2">
        <v>45689</v>
      </c>
      <c r="G745" s="2">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2">
        <v>45690</v>
      </c>
      <c r="G746" s="2">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2">
        <v>45690</v>
      </c>
      <c r="G747" s="2">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2">
        <v>45690</v>
      </c>
      <c r="G748" s="2">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2">
        <v>45690</v>
      </c>
      <c r="G749" s="2">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2">
        <v>45690</v>
      </c>
      <c r="G750" s="2">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2">
        <v>45690</v>
      </c>
      <c r="G751" s="2">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2">
        <v>45690</v>
      </c>
      <c r="G752" s="2">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2">
        <v>45690</v>
      </c>
      <c r="G753" s="2">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2">
        <v>45690</v>
      </c>
      <c r="G754" s="2">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2">
        <v>45690</v>
      </c>
      <c r="G755" s="2">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2">
        <v>45690</v>
      </c>
      <c r="G756" s="2">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2">
        <v>45690</v>
      </c>
      <c r="G757" s="2">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2">
        <v>45690</v>
      </c>
      <c r="G758" s="2">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2">
        <v>45690</v>
      </c>
      <c r="G759" s="2">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2">
        <v>45690</v>
      </c>
      <c r="G760" s="2">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2">
        <v>45690</v>
      </c>
      <c r="G761" s="2">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2">
        <v>45690</v>
      </c>
      <c r="G762" s="2">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2">
        <v>45690</v>
      </c>
      <c r="G763" s="2">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2">
        <v>45690</v>
      </c>
      <c r="G764" s="2">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2">
        <v>45690</v>
      </c>
      <c r="G765" s="2">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2">
        <v>45690</v>
      </c>
      <c r="G766" s="2">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2">
        <v>45690</v>
      </c>
      <c r="G767" s="2">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2">
        <v>45690</v>
      </c>
      <c r="G768" s="2">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2">
        <v>45690</v>
      </c>
      <c r="G769" s="2">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2">
        <v>45690</v>
      </c>
      <c r="G770" s="2">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2">
        <v>45690</v>
      </c>
      <c r="G771" s="2">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2">
        <v>45690</v>
      </c>
      <c r="G772" s="2">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2">
        <v>45690</v>
      </c>
      <c r="G773" s="2">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2">
        <v>45690</v>
      </c>
      <c r="G774" s="2">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2">
        <v>45690</v>
      </c>
      <c r="G775" s="2">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2">
        <v>45690</v>
      </c>
      <c r="G776" s="2">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2">
        <v>45690</v>
      </c>
      <c r="G777" s="2">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2">
        <v>45690</v>
      </c>
      <c r="G778" s="2">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2">
        <v>45690</v>
      </c>
      <c r="G779" s="2">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2">
        <v>45690</v>
      </c>
      <c r="G780" s="2">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2">
        <v>45690</v>
      </c>
      <c r="G781" s="2">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2">
        <v>45690</v>
      </c>
      <c r="G782" s="2">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2">
        <v>45691</v>
      </c>
      <c r="G783" s="2">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2">
        <v>45691</v>
      </c>
      <c r="G784" s="2">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2">
        <v>45691</v>
      </c>
      <c r="G785" s="2">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2">
        <v>45691</v>
      </c>
      <c r="G786" s="2">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2">
        <v>45691</v>
      </c>
      <c r="G787" s="2">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2">
        <v>45691</v>
      </c>
      <c r="G788" s="2">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2">
        <v>45691</v>
      </c>
      <c r="G789" s="2">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2">
        <v>45691</v>
      </c>
      <c r="G790" s="2">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2">
        <v>45691</v>
      </c>
      <c r="G791" s="2">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2">
        <v>45691</v>
      </c>
      <c r="G792" s="2">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2">
        <v>45691</v>
      </c>
      <c r="G793" s="2">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2">
        <v>45691</v>
      </c>
      <c r="G794" s="2">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2">
        <v>45691</v>
      </c>
      <c r="G795" s="2">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2">
        <v>45691</v>
      </c>
      <c r="G796" s="2">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2">
        <v>45691</v>
      </c>
      <c r="G797" s="2">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2">
        <v>45691</v>
      </c>
      <c r="G798" s="2">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2">
        <v>45691</v>
      </c>
      <c r="G799" s="2">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2">
        <v>45691</v>
      </c>
      <c r="G800" s="2">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2">
        <v>45691</v>
      </c>
      <c r="G801" s="2">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2">
        <v>45691</v>
      </c>
      <c r="G802" s="2">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2">
        <v>45691</v>
      </c>
      <c r="G803" s="2">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2">
        <v>45691</v>
      </c>
      <c r="G804" s="2">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2">
        <v>45692</v>
      </c>
      <c r="G805" s="2">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2">
        <v>45692</v>
      </c>
      <c r="G806" s="2">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2">
        <v>45692</v>
      </c>
      <c r="G807" s="2">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2">
        <v>45692</v>
      </c>
      <c r="G808" s="2">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2">
        <v>45692</v>
      </c>
      <c r="G809" s="2">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2">
        <v>45692</v>
      </c>
      <c r="G810" s="2">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2">
        <v>45692</v>
      </c>
      <c r="G811" s="2">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2">
        <v>45692</v>
      </c>
      <c r="G812" s="2">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2">
        <v>45692</v>
      </c>
      <c r="G813" s="2">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2">
        <v>45692</v>
      </c>
      <c r="G814" s="2">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2">
        <v>45692</v>
      </c>
      <c r="G815" s="2">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2">
        <v>45692</v>
      </c>
      <c r="G816" s="2">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2">
        <v>45692</v>
      </c>
      <c r="G817" s="2">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2">
        <v>45692</v>
      </c>
      <c r="G818" s="2">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2">
        <v>45692</v>
      </c>
      <c r="G819" s="2">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2">
        <v>45692</v>
      </c>
      <c r="G820" s="2">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2">
        <v>45692</v>
      </c>
      <c r="G821" s="2">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2">
        <v>45692</v>
      </c>
      <c r="G822" s="2">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2">
        <v>45692</v>
      </c>
      <c r="G823" s="2">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2">
        <v>45692</v>
      </c>
      <c r="G824" s="2">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2">
        <v>45692</v>
      </c>
      <c r="G825" s="2">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2">
        <v>45692</v>
      </c>
      <c r="G826" s="2">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2">
        <v>45692</v>
      </c>
      <c r="G827" s="2">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2">
        <v>45692</v>
      </c>
      <c r="G828" s="2">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2">
        <v>45692</v>
      </c>
      <c r="G829" s="2">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2">
        <v>45692</v>
      </c>
      <c r="G830" s="2">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2">
        <v>45692</v>
      </c>
      <c r="G831" s="2">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2">
        <v>45692</v>
      </c>
      <c r="G832" s="2">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2">
        <v>45692</v>
      </c>
      <c r="G833" s="2">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2">
        <v>45692</v>
      </c>
      <c r="G834" s="2">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2">
        <v>45692</v>
      </c>
      <c r="G835" s="2">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2">
        <v>45692</v>
      </c>
      <c r="G836" s="2">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2">
        <v>45692</v>
      </c>
      <c r="G837" s="2">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2">
        <v>45692</v>
      </c>
      <c r="G838" s="2">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2">
        <v>45692</v>
      </c>
      <c r="G839" s="2">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2">
        <v>45692</v>
      </c>
      <c r="G840" s="2">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2">
        <v>45692</v>
      </c>
      <c r="G841" s="2">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2">
        <v>45692</v>
      </c>
      <c r="G842" s="2">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2">
        <v>45692</v>
      </c>
      <c r="G843" s="2">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2">
        <v>45692</v>
      </c>
      <c r="G844" s="2">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2">
        <v>45692</v>
      </c>
      <c r="G845" s="2">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2">
        <v>45692</v>
      </c>
      <c r="G846" s="2">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2">
        <v>45692</v>
      </c>
      <c r="G847" s="2">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2">
        <v>45693</v>
      </c>
      <c r="G848" s="2">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2">
        <v>45693</v>
      </c>
      <c r="G849" s="2">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2">
        <v>45693</v>
      </c>
      <c r="G850" s="2">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2">
        <v>45693</v>
      </c>
      <c r="G851" s="2">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2">
        <v>45693</v>
      </c>
      <c r="G852" s="2">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2">
        <v>45693</v>
      </c>
      <c r="G853" s="2">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2">
        <v>45693</v>
      </c>
      <c r="G854" s="2">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2">
        <v>45693</v>
      </c>
      <c r="G855" s="2">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2">
        <v>45693</v>
      </c>
      <c r="G856" s="2">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2">
        <v>45693</v>
      </c>
      <c r="G857" s="2">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2">
        <v>45693</v>
      </c>
      <c r="G858" s="2">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2">
        <v>45693</v>
      </c>
      <c r="G859" s="2">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2">
        <v>45693</v>
      </c>
      <c r="G860" s="2">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2">
        <v>45693</v>
      </c>
      <c r="G861" s="2">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2">
        <v>45693</v>
      </c>
      <c r="G862" s="2">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2">
        <v>45693</v>
      </c>
      <c r="G863" s="2">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2">
        <v>45693</v>
      </c>
      <c r="G864" s="2">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2">
        <v>45693</v>
      </c>
      <c r="G865" s="2">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2">
        <v>45693</v>
      </c>
      <c r="G866" s="2">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2">
        <v>45693</v>
      </c>
      <c r="G867" s="2">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2">
        <v>45693</v>
      </c>
      <c r="G868" s="2">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2">
        <v>45693</v>
      </c>
      <c r="G869" s="2">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2">
        <v>45693</v>
      </c>
      <c r="G870" s="2">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2">
        <v>45693</v>
      </c>
      <c r="G871" s="2">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2">
        <v>45693</v>
      </c>
      <c r="G872" s="2">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2">
        <v>45693</v>
      </c>
      <c r="G873" s="2">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2">
        <v>45693</v>
      </c>
      <c r="G874" s="2">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2">
        <v>45693</v>
      </c>
      <c r="G875" s="2">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2">
        <v>45693</v>
      </c>
      <c r="G876" s="2">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2">
        <v>45694</v>
      </c>
      <c r="G877" s="2">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2">
        <v>45694</v>
      </c>
      <c r="G878" s="2">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2">
        <v>45694</v>
      </c>
      <c r="G879" s="2">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2">
        <v>45694</v>
      </c>
      <c r="G880" s="2">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2">
        <v>45694</v>
      </c>
      <c r="G881" s="2">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2">
        <v>45694</v>
      </c>
      <c r="G882" s="2">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2">
        <v>45694</v>
      </c>
      <c r="G883" s="2">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2">
        <v>45694</v>
      </c>
      <c r="G884" s="2">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2">
        <v>45694</v>
      </c>
      <c r="G885" s="2">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2">
        <v>45694</v>
      </c>
      <c r="G886" s="2">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2">
        <v>45694</v>
      </c>
      <c r="G887" s="2">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2">
        <v>45694</v>
      </c>
      <c r="G888" s="2">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2">
        <v>45694</v>
      </c>
      <c r="G889" s="2">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2">
        <v>45694</v>
      </c>
      <c r="G890" s="2">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2">
        <v>45694</v>
      </c>
      <c r="G891" s="2">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2">
        <v>45694</v>
      </c>
      <c r="G892" s="2">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2">
        <v>45694</v>
      </c>
      <c r="G893" s="2">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2">
        <v>45694</v>
      </c>
      <c r="G894" s="2">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2">
        <v>45694</v>
      </c>
      <c r="G895" s="2">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2">
        <v>45694</v>
      </c>
      <c r="G896" s="2">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2">
        <v>45694</v>
      </c>
      <c r="G897" s="2">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2">
        <v>45694</v>
      </c>
      <c r="G898" s="2">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2">
        <v>45694</v>
      </c>
      <c r="G899" s="2">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2">
        <v>45694</v>
      </c>
      <c r="G900" s="2">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2">
        <v>45694</v>
      </c>
      <c r="G901" s="2">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2">
        <v>45694</v>
      </c>
      <c r="G902" s="2">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2">
        <v>45694</v>
      </c>
      <c r="G903" s="2">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2">
        <v>45694</v>
      </c>
      <c r="G904" s="2">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2">
        <v>45694</v>
      </c>
      <c r="G905" s="2">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2">
        <v>45694</v>
      </c>
      <c r="G906" s="2">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2">
        <v>45694</v>
      </c>
      <c r="G907" s="2">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2">
        <v>45694</v>
      </c>
      <c r="G908" s="2">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2">
        <v>45694</v>
      </c>
      <c r="G909" s="2">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2">
        <v>45694</v>
      </c>
      <c r="G910" s="2">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2">
        <v>45694</v>
      </c>
      <c r="G911" s="2">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2">
        <v>45694</v>
      </c>
      <c r="G912" s="2">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2">
        <v>45694</v>
      </c>
      <c r="G913" s="2">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2">
        <v>45694</v>
      </c>
      <c r="G914" s="2">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2">
        <v>45694</v>
      </c>
      <c r="G915" s="2">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2">
        <v>45694</v>
      </c>
      <c r="G916" s="2">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2">
        <v>45694</v>
      </c>
      <c r="G917" s="2">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2">
        <v>45694</v>
      </c>
      <c r="G918" s="2">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2">
        <v>45694</v>
      </c>
      <c r="G919" s="2">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2">
        <v>45694</v>
      </c>
      <c r="G920" s="2">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2">
        <v>45694</v>
      </c>
      <c r="G921" s="2">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2">
        <v>45694</v>
      </c>
      <c r="G922" s="2">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2">
        <v>45694</v>
      </c>
      <c r="G923" s="2">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2">
        <v>45694</v>
      </c>
      <c r="G924" s="2">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2">
        <v>45694</v>
      </c>
      <c r="G925" s="2">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2">
        <v>45694</v>
      </c>
      <c r="G926" s="2">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2">
        <v>45694</v>
      </c>
      <c r="G927" s="2">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2">
        <v>45694</v>
      </c>
      <c r="G928" s="2">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2">
        <v>45694</v>
      </c>
      <c r="G929" s="2">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2">
        <v>45694</v>
      </c>
      <c r="G930" s="2">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2">
        <v>45694</v>
      </c>
      <c r="G931" s="2">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2">
        <v>45694</v>
      </c>
      <c r="G932" s="2">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2">
        <v>45695</v>
      </c>
      <c r="G933" s="2">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2">
        <v>45695</v>
      </c>
      <c r="G934" s="2">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2">
        <v>45695</v>
      </c>
      <c r="G935" s="2">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2">
        <v>45695</v>
      </c>
      <c r="G936" s="2">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2">
        <v>45695</v>
      </c>
      <c r="G937" s="2">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2">
        <v>45695</v>
      </c>
      <c r="G938" s="2">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2">
        <v>45695</v>
      </c>
      <c r="G939" s="2">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2">
        <v>45695</v>
      </c>
      <c r="G940" s="2">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2">
        <v>45695</v>
      </c>
      <c r="G941" s="2">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2">
        <v>45695</v>
      </c>
      <c r="G942" s="2">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2">
        <v>45695</v>
      </c>
      <c r="G943" s="2">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2">
        <v>45695</v>
      </c>
      <c r="G944" s="2">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2">
        <v>45695</v>
      </c>
      <c r="G945" s="2">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2">
        <v>45695</v>
      </c>
      <c r="G946" s="2">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2">
        <v>45695</v>
      </c>
      <c r="G947" s="2">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2">
        <v>45695</v>
      </c>
      <c r="G948" s="2">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2">
        <v>45695</v>
      </c>
      <c r="G949" s="2">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2">
        <v>45695</v>
      </c>
      <c r="G950" s="2">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2">
        <v>45695</v>
      </c>
      <c r="G951" s="2">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2">
        <v>45695</v>
      </c>
      <c r="G952" s="2">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2">
        <v>45695</v>
      </c>
      <c r="G953" s="2">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2">
        <v>45695</v>
      </c>
      <c r="G954" s="2">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2">
        <v>45696</v>
      </c>
      <c r="G955" s="2">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2">
        <v>45696</v>
      </c>
      <c r="G956" s="2">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2">
        <v>45696</v>
      </c>
      <c r="G957" s="2">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2">
        <v>45696</v>
      </c>
      <c r="G958" s="2">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2">
        <v>45696</v>
      </c>
      <c r="G959" s="2">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2">
        <v>45696</v>
      </c>
      <c r="G960" s="2">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2">
        <v>45696</v>
      </c>
      <c r="G961" s="2">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2">
        <v>45696</v>
      </c>
      <c r="G962" s="2">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2">
        <v>45696</v>
      </c>
      <c r="G963" s="2">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2">
        <v>45696</v>
      </c>
      <c r="G964" s="2">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2">
        <v>45696</v>
      </c>
      <c r="G965" s="2">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2">
        <v>45696</v>
      </c>
      <c r="G966" s="2">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2">
        <v>45696</v>
      </c>
      <c r="G967" s="2">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2">
        <v>45696</v>
      </c>
      <c r="G968" s="2">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2">
        <v>45696</v>
      </c>
      <c r="G969" s="2">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2">
        <v>45696</v>
      </c>
      <c r="G970" s="2">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2">
        <v>45696</v>
      </c>
      <c r="G971" s="2">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2">
        <v>45696</v>
      </c>
      <c r="G972" s="2">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2">
        <v>45696</v>
      </c>
      <c r="G973" s="2">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2">
        <v>45696</v>
      </c>
      <c r="G974" s="2">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2">
        <v>45696</v>
      </c>
      <c r="G975" s="2">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2">
        <v>45696</v>
      </c>
      <c r="G976" s="2">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2">
        <v>45696</v>
      </c>
      <c r="G977" s="2">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2">
        <v>45696</v>
      </c>
      <c r="G978" s="2">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2">
        <v>45696</v>
      </c>
      <c r="G979" s="2">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2">
        <v>45696</v>
      </c>
      <c r="G980" s="2">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2">
        <v>45696</v>
      </c>
      <c r="G981" s="2">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2">
        <v>45696</v>
      </c>
      <c r="G982" s="2">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2">
        <v>45696</v>
      </c>
      <c r="G983" s="2">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2">
        <v>45696</v>
      </c>
      <c r="G984" s="2">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2">
        <v>45696</v>
      </c>
      <c r="G985" s="2">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2">
        <v>45697</v>
      </c>
      <c r="G986" s="2">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2">
        <v>45697</v>
      </c>
      <c r="G987" s="2">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2">
        <v>45697</v>
      </c>
      <c r="G988" s="2">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2">
        <v>45697</v>
      </c>
      <c r="G989" s="2">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2">
        <v>45697</v>
      </c>
      <c r="G990" s="2">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2">
        <v>45697</v>
      </c>
      <c r="G991" s="2">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2">
        <v>45697</v>
      </c>
      <c r="G992" s="2">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2">
        <v>45697</v>
      </c>
      <c r="G993" s="2">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2">
        <v>45697</v>
      </c>
      <c r="G994" s="2">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2">
        <v>45697</v>
      </c>
      <c r="G995" s="2">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2">
        <v>45697</v>
      </c>
      <c r="G996" s="2">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2">
        <v>45697</v>
      </c>
      <c r="G997" s="2">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2">
        <v>45697</v>
      </c>
      <c r="G998" s="2">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2">
        <v>45697</v>
      </c>
      <c r="G999" s="2">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2">
        <v>45697</v>
      </c>
      <c r="G1000" s="2">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2">
        <v>45697</v>
      </c>
      <c r="G1001" s="2">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2">
        <v>45697</v>
      </c>
      <c r="G1002" s="2">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2">
        <v>45697</v>
      </c>
      <c r="G1003" s="2">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2">
        <v>45697</v>
      </c>
      <c r="G1004" s="2">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2">
        <v>45697</v>
      </c>
      <c r="G1005" s="2">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2">
        <v>45697</v>
      </c>
      <c r="G1006" s="2">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2">
        <v>45697</v>
      </c>
      <c r="G1007" s="2">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2">
        <v>45697</v>
      </c>
      <c r="G1008" s="2">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2">
        <v>45697</v>
      </c>
      <c r="G1009" s="2">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2">
        <v>45697</v>
      </c>
      <c r="G1010" s="2">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2">
        <v>45697</v>
      </c>
      <c r="G1011" s="2">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2">
        <v>45697</v>
      </c>
      <c r="G1012" s="2">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2">
        <v>45697</v>
      </c>
      <c r="G1013" s="2">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2">
        <v>45697</v>
      </c>
      <c r="G1014" s="2">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2">
        <v>45697</v>
      </c>
      <c r="G1015" s="2">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2">
        <v>45697</v>
      </c>
      <c r="G1016" s="2">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2">
        <v>45697</v>
      </c>
      <c r="G1017" s="2">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2">
        <v>45697</v>
      </c>
      <c r="G1018" s="2">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2">
        <v>45697</v>
      </c>
      <c r="G1019" s="2">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2">
        <v>45697</v>
      </c>
      <c r="G1020" s="2">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2">
        <v>45697</v>
      </c>
      <c r="G1021" s="2">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2">
        <v>45698</v>
      </c>
      <c r="G1022" s="2">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2">
        <v>45698</v>
      </c>
      <c r="G1023" s="2">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2">
        <v>45698</v>
      </c>
      <c r="G1024" s="2">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2">
        <v>45698</v>
      </c>
      <c r="G1025" s="2">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2">
        <v>45698</v>
      </c>
      <c r="G1026" s="2">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2">
        <v>45698</v>
      </c>
      <c r="G1027" s="2">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2">
        <v>45698</v>
      </c>
      <c r="G1028" s="2">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2">
        <v>45698</v>
      </c>
      <c r="G1029" s="2">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2">
        <v>45698</v>
      </c>
      <c r="G1030" s="2">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2">
        <v>45698</v>
      </c>
      <c r="G1031" s="2">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2">
        <v>45698</v>
      </c>
      <c r="G1032" s="2">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2">
        <v>45698</v>
      </c>
      <c r="G1033" s="2">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2">
        <v>45698</v>
      </c>
      <c r="G1034" s="2">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2">
        <v>45698</v>
      </c>
      <c r="G1035" s="2">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2">
        <v>45698</v>
      </c>
      <c r="G1036" s="2">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2">
        <v>45698</v>
      </c>
      <c r="G1037" s="2">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2">
        <v>45698</v>
      </c>
      <c r="G1038" s="2">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2">
        <v>45698</v>
      </c>
      <c r="G1039" s="2">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2">
        <v>45698</v>
      </c>
      <c r="G1040" s="2">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2">
        <v>45698</v>
      </c>
      <c r="G1041" s="2">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2">
        <v>45698</v>
      </c>
      <c r="G1042" s="2">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2">
        <v>45698</v>
      </c>
      <c r="G1043" s="2">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2">
        <v>45698</v>
      </c>
      <c r="G1044" s="2">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2">
        <v>45698</v>
      </c>
      <c r="G1045" s="2">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2">
        <v>45698</v>
      </c>
      <c r="G1046" s="2">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2">
        <v>45698</v>
      </c>
      <c r="G1047" s="2">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2">
        <v>45698</v>
      </c>
      <c r="G1048" s="2">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2">
        <v>45698</v>
      </c>
      <c r="G1049" s="2">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2">
        <v>45699</v>
      </c>
      <c r="G1050" s="2">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2">
        <v>45699</v>
      </c>
      <c r="G1051" s="2">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2">
        <v>45699</v>
      </c>
      <c r="G1052" s="2">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2">
        <v>45699</v>
      </c>
      <c r="G1053" s="2">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2">
        <v>45699</v>
      </c>
      <c r="G1054" s="2">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2">
        <v>45699</v>
      </c>
      <c r="G1055" s="2">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2">
        <v>45699</v>
      </c>
      <c r="G1056" s="2">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2">
        <v>45699</v>
      </c>
      <c r="G1057" s="2">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2">
        <v>45699</v>
      </c>
      <c r="G1058" s="2">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2">
        <v>45699</v>
      </c>
      <c r="G1059" s="2">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2">
        <v>45699</v>
      </c>
      <c r="G1060" s="2">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2">
        <v>45699</v>
      </c>
      <c r="G1061" s="2">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2">
        <v>45699</v>
      </c>
      <c r="G1062" s="2">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2">
        <v>45699</v>
      </c>
      <c r="G1063" s="2">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2">
        <v>45699</v>
      </c>
      <c r="G1064" s="2">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2">
        <v>45699</v>
      </c>
      <c r="G1065" s="2">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2">
        <v>45699</v>
      </c>
      <c r="G1066" s="2">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2">
        <v>45699</v>
      </c>
      <c r="G1067" s="2">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2">
        <v>45699</v>
      </c>
      <c r="G1068" s="2">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2">
        <v>45699</v>
      </c>
      <c r="G1069" s="2">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2">
        <v>45699</v>
      </c>
      <c r="G1070" s="2">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2">
        <v>45699</v>
      </c>
      <c r="G1071" s="2">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2">
        <v>45699</v>
      </c>
      <c r="G1072" s="2">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2">
        <v>45699</v>
      </c>
      <c r="G1073" s="2">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2">
        <v>45699</v>
      </c>
      <c r="G1074" s="2">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2">
        <v>45699</v>
      </c>
      <c r="G1075" s="2">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2">
        <v>45700</v>
      </c>
      <c r="G1076" s="2">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2">
        <v>45700</v>
      </c>
      <c r="G1077" s="2">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2">
        <v>45700</v>
      </c>
      <c r="G1078" s="2">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2">
        <v>45700</v>
      </c>
      <c r="G1079" s="2">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2">
        <v>45700</v>
      </c>
      <c r="G1080" s="2">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2">
        <v>45700</v>
      </c>
      <c r="G1081" s="2">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2">
        <v>45700</v>
      </c>
      <c r="G1082" s="2">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2">
        <v>45700</v>
      </c>
      <c r="G1083" s="2">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2">
        <v>45700</v>
      </c>
      <c r="G1084" s="2">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2">
        <v>45700</v>
      </c>
      <c r="G1085" s="2">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2">
        <v>45700</v>
      </c>
      <c r="G1086" s="2">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2">
        <v>45700</v>
      </c>
      <c r="G1087" s="2">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2">
        <v>45700</v>
      </c>
      <c r="G1088" s="2">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2">
        <v>45700</v>
      </c>
      <c r="G1089" s="2">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2">
        <v>45700</v>
      </c>
      <c r="G1090" s="2">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2">
        <v>45700</v>
      </c>
      <c r="G1091" s="2">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2">
        <v>45700</v>
      </c>
      <c r="G1092" s="2">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2">
        <v>45700</v>
      </c>
      <c r="G1093" s="2">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2">
        <v>45700</v>
      </c>
      <c r="G1094" s="2">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2">
        <v>45700</v>
      </c>
      <c r="G1095" s="2">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2">
        <v>45700</v>
      </c>
      <c r="G1096" s="2">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2">
        <v>45700</v>
      </c>
      <c r="G1097" s="2">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2">
        <v>45700</v>
      </c>
      <c r="G1098" s="2">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2">
        <v>45701</v>
      </c>
      <c r="G1099" s="2">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2">
        <v>45701</v>
      </c>
      <c r="G1100" s="2">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2">
        <v>45701</v>
      </c>
      <c r="G1101" s="2">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2">
        <v>45701</v>
      </c>
      <c r="G1102" s="2">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2">
        <v>45701</v>
      </c>
      <c r="G1103" s="2">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2">
        <v>45701</v>
      </c>
      <c r="G1104" s="2">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2">
        <v>45701</v>
      </c>
      <c r="G1105" s="2">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2">
        <v>45701</v>
      </c>
      <c r="G1106" s="2">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2">
        <v>45701</v>
      </c>
      <c r="G1107" s="2">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2">
        <v>45701</v>
      </c>
      <c r="G1108" s="2">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2">
        <v>45701</v>
      </c>
      <c r="G1109" s="2">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2">
        <v>45701</v>
      </c>
      <c r="G1110" s="2">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2">
        <v>45701</v>
      </c>
      <c r="G1111" s="2">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2">
        <v>45701</v>
      </c>
      <c r="G1112" s="2">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2">
        <v>45701</v>
      </c>
      <c r="G1113" s="2">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2">
        <v>45701</v>
      </c>
      <c r="G1114" s="2">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2">
        <v>45701</v>
      </c>
      <c r="G1115" s="2">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2">
        <v>45701</v>
      </c>
      <c r="G1116" s="2">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2">
        <v>45701</v>
      </c>
      <c r="G1117" s="2">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2">
        <v>45701</v>
      </c>
      <c r="G1118" s="2">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2">
        <v>45701</v>
      </c>
      <c r="G1119" s="2">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2">
        <v>45701</v>
      </c>
      <c r="G1120" s="2">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2">
        <v>45701</v>
      </c>
      <c r="G1121" s="2">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2">
        <v>45702</v>
      </c>
      <c r="G1122" s="2">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2">
        <v>45702</v>
      </c>
      <c r="G1123" s="2">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2">
        <v>45702</v>
      </c>
      <c r="G1124" s="2">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2">
        <v>45702</v>
      </c>
      <c r="G1125" s="2">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2">
        <v>45702</v>
      </c>
      <c r="G1126" s="2">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2">
        <v>45702</v>
      </c>
      <c r="G1127" s="2">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2">
        <v>45702</v>
      </c>
      <c r="G1128" s="2">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2">
        <v>45702</v>
      </c>
      <c r="G1129" s="2">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2">
        <v>45702</v>
      </c>
      <c r="G1130" s="2">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2">
        <v>45702</v>
      </c>
      <c r="G1131" s="2">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2">
        <v>45702</v>
      </c>
      <c r="G1132" s="2">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2">
        <v>45702</v>
      </c>
      <c r="G1133" s="2">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2">
        <v>45702</v>
      </c>
      <c r="G1134" s="2">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2">
        <v>45702</v>
      </c>
      <c r="G1135" s="2">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2">
        <v>45702</v>
      </c>
      <c r="G1136" s="2">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2">
        <v>45702</v>
      </c>
      <c r="G1137" s="2">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2">
        <v>45702</v>
      </c>
      <c r="G1138" s="2">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2">
        <v>45702</v>
      </c>
      <c r="G1139" s="2">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2">
        <v>45702</v>
      </c>
      <c r="G1140" s="2">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2">
        <v>45702</v>
      </c>
      <c r="G1141" s="2">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2">
        <v>45702</v>
      </c>
      <c r="G1142" s="2">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2">
        <v>45702</v>
      </c>
      <c r="G1143" s="2">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2">
        <v>45702</v>
      </c>
      <c r="G1144" s="2">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2">
        <v>45702</v>
      </c>
      <c r="G1145" s="2">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2">
        <v>45702</v>
      </c>
      <c r="G1146" s="2">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2">
        <v>45702</v>
      </c>
      <c r="G1147" s="2">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2">
        <v>45702</v>
      </c>
      <c r="G1148" s="2">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2">
        <v>45702</v>
      </c>
      <c r="G1149" s="2">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2">
        <v>45703</v>
      </c>
      <c r="G1150" s="2">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2">
        <v>45703</v>
      </c>
      <c r="G1151" s="2">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2">
        <v>45703</v>
      </c>
      <c r="G1152" s="2">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2">
        <v>45703</v>
      </c>
      <c r="G1153" s="2">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2">
        <v>45703</v>
      </c>
      <c r="G1154" s="2">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2">
        <v>45703</v>
      </c>
      <c r="G1155" s="2">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2">
        <v>45703</v>
      </c>
      <c r="G1156" s="2">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2">
        <v>45703</v>
      </c>
      <c r="G1157" s="2">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2">
        <v>45703</v>
      </c>
      <c r="G1158" s="2">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2">
        <v>45703</v>
      </c>
      <c r="G1159" s="2">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2">
        <v>45703</v>
      </c>
      <c r="G1160" s="2">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2">
        <v>45703</v>
      </c>
      <c r="G1161" s="2">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2">
        <v>45703</v>
      </c>
      <c r="G1162" s="2">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2">
        <v>45703</v>
      </c>
      <c r="G1163" s="2">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2">
        <v>45703</v>
      </c>
      <c r="G1164" s="2">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2">
        <v>45703</v>
      </c>
      <c r="G1165" s="2">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2">
        <v>45703</v>
      </c>
      <c r="G1166" s="2">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2">
        <v>45703</v>
      </c>
      <c r="G1167" s="2">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2">
        <v>45703</v>
      </c>
      <c r="G1168" s="2">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2">
        <v>45703</v>
      </c>
      <c r="G1169" s="2">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2">
        <v>45703</v>
      </c>
      <c r="G1170" s="2">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2">
        <v>45703</v>
      </c>
      <c r="G1171" s="2">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2">
        <v>45703</v>
      </c>
      <c r="G1172" s="2">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2">
        <v>45703</v>
      </c>
      <c r="G1173" s="2">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2">
        <v>45703</v>
      </c>
      <c r="G1174" s="2">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2">
        <v>45703</v>
      </c>
      <c r="G1175" s="2">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2">
        <v>45703</v>
      </c>
      <c r="G1176" s="2">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2">
        <v>45704</v>
      </c>
      <c r="G1177" s="2">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2">
        <v>45704</v>
      </c>
      <c r="G1178" s="2">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2">
        <v>45704</v>
      </c>
      <c r="G1179" s="2">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2">
        <v>45704</v>
      </c>
      <c r="G1180" s="2">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2">
        <v>45704</v>
      </c>
      <c r="G1181" s="2">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2">
        <v>45704</v>
      </c>
      <c r="G1182" s="2">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2">
        <v>45704</v>
      </c>
      <c r="G1183" s="2">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2">
        <v>45704</v>
      </c>
      <c r="G1184" s="2">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2">
        <v>45704</v>
      </c>
      <c r="G1185" s="2">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2">
        <v>45704</v>
      </c>
      <c r="G1186" s="2">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2">
        <v>45704</v>
      </c>
      <c r="G1187" s="2">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2">
        <v>45704</v>
      </c>
      <c r="G1188" s="2">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2">
        <v>45704</v>
      </c>
      <c r="G1189" s="2">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2">
        <v>45704</v>
      </c>
      <c r="G1190" s="2">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2">
        <v>45704</v>
      </c>
      <c r="G1191" s="2">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2">
        <v>45704</v>
      </c>
      <c r="G1192" s="2">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2">
        <v>45704</v>
      </c>
      <c r="G1193" s="2">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2">
        <v>45704</v>
      </c>
      <c r="G1194" s="2">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2">
        <v>45704</v>
      </c>
      <c r="G1195" s="2">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2">
        <v>45705</v>
      </c>
      <c r="G1196" s="2">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2">
        <v>45705</v>
      </c>
      <c r="G1197" s="2">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2">
        <v>45705</v>
      </c>
      <c r="G1198" s="2">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2">
        <v>45705</v>
      </c>
      <c r="G1199" s="2">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2">
        <v>45705</v>
      </c>
      <c r="G1200" s="2">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2">
        <v>45705</v>
      </c>
      <c r="G1201" s="2">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2">
        <v>45705</v>
      </c>
      <c r="G1202" s="2">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2">
        <v>45705</v>
      </c>
      <c r="G1203" s="2">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2">
        <v>45705</v>
      </c>
      <c r="G1204" s="2">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2">
        <v>45705</v>
      </c>
      <c r="G1205" s="2">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2">
        <v>45705</v>
      </c>
      <c r="G1206" s="2">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2">
        <v>45705</v>
      </c>
      <c r="G1207" s="2">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2">
        <v>45705</v>
      </c>
      <c r="G1208" s="2">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2">
        <v>45705</v>
      </c>
      <c r="G1209" s="2">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2">
        <v>45705</v>
      </c>
      <c r="G1210" s="2">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2">
        <v>45705</v>
      </c>
      <c r="G1211" s="2">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2">
        <v>45705</v>
      </c>
      <c r="G1212" s="2">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2">
        <v>45705</v>
      </c>
      <c r="G1213" s="2">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2">
        <v>45705</v>
      </c>
      <c r="G1214" s="2">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2">
        <v>45705</v>
      </c>
      <c r="G1215" s="2">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2">
        <v>45705</v>
      </c>
      <c r="G1216" s="2">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2">
        <v>45705</v>
      </c>
      <c r="G1217" s="2">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2">
        <v>45705</v>
      </c>
      <c r="G1218" s="2">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2">
        <v>45705</v>
      </c>
      <c r="G1219" s="2">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2">
        <v>45705</v>
      </c>
      <c r="G1220" s="2">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2">
        <v>45705</v>
      </c>
      <c r="G1221" s="2">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2">
        <v>45705</v>
      </c>
      <c r="G1222" s="2">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2">
        <v>45705</v>
      </c>
      <c r="G1223" s="2">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2">
        <v>45705</v>
      </c>
      <c r="G1224" s="2">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2">
        <v>45706</v>
      </c>
      <c r="G1225" s="2">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2">
        <v>45706</v>
      </c>
      <c r="G1226" s="2">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2">
        <v>45706</v>
      </c>
      <c r="G1227" s="2">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2">
        <v>45706</v>
      </c>
      <c r="G1228" s="2">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2">
        <v>45706</v>
      </c>
      <c r="G1229" s="2">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2">
        <v>45706</v>
      </c>
      <c r="G1230" s="2">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2">
        <v>45706</v>
      </c>
      <c r="G1231" s="2">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2">
        <v>45706</v>
      </c>
      <c r="G1232" s="2">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2">
        <v>45706</v>
      </c>
      <c r="G1233" s="2">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2">
        <v>45706</v>
      </c>
      <c r="G1234" s="2">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2">
        <v>45706</v>
      </c>
      <c r="G1235" s="2">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2">
        <v>45706</v>
      </c>
      <c r="G1236" s="2">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2">
        <v>45706</v>
      </c>
      <c r="G1237" s="2">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2">
        <v>45706</v>
      </c>
      <c r="G1238" s="2">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2">
        <v>45706</v>
      </c>
      <c r="G1239" s="2">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2">
        <v>45706</v>
      </c>
      <c r="G1240" s="2">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2">
        <v>45706</v>
      </c>
      <c r="G1241" s="2">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2">
        <v>45706</v>
      </c>
      <c r="G1242" s="2">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2">
        <v>45706</v>
      </c>
      <c r="G1243" s="2">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2">
        <v>45706</v>
      </c>
      <c r="G1244" s="2">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2">
        <v>45706</v>
      </c>
      <c r="G1245" s="2">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2">
        <v>45706</v>
      </c>
      <c r="G1246" s="2">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2">
        <v>45706</v>
      </c>
      <c r="G1247" s="2">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2">
        <v>45706</v>
      </c>
      <c r="G1248" s="2">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2">
        <v>45706</v>
      </c>
      <c r="G1249" s="2">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2">
        <v>45706</v>
      </c>
      <c r="G1250" s="2">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2">
        <v>45706</v>
      </c>
      <c r="G1251" s="2">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2">
        <v>45706</v>
      </c>
      <c r="G1252" s="2">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2">
        <v>45706</v>
      </c>
      <c r="G1253" s="2">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2">
        <v>45706</v>
      </c>
      <c r="G1254" s="2">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2">
        <v>45706</v>
      </c>
      <c r="G1255" s="2">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2">
        <v>45706</v>
      </c>
      <c r="G1256" s="2">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2">
        <v>45706</v>
      </c>
      <c r="G1257" s="2">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2">
        <v>45706</v>
      </c>
      <c r="G1258" s="2">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2">
        <v>45706</v>
      </c>
      <c r="G1259" s="2">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2">
        <v>45706</v>
      </c>
      <c r="G1260" s="2">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2">
        <v>45706</v>
      </c>
      <c r="G1261" s="2">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2">
        <v>45706</v>
      </c>
      <c r="G1262" s="2">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2">
        <v>45706</v>
      </c>
      <c r="G1263" s="2">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2">
        <v>45706</v>
      </c>
      <c r="G1264" s="2">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2">
        <v>45706</v>
      </c>
      <c r="G1265" s="2">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2">
        <v>45706</v>
      </c>
      <c r="G1266" s="2">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2">
        <v>45706</v>
      </c>
      <c r="G1267" s="2">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2">
        <v>45706</v>
      </c>
      <c r="G1268" s="2">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2">
        <v>45706</v>
      </c>
      <c r="G1269" s="2">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2">
        <v>45706</v>
      </c>
      <c r="G1270" s="2">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2">
        <v>45706</v>
      </c>
      <c r="G1271" s="2">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2">
        <v>45706</v>
      </c>
      <c r="G1272" s="2">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2">
        <v>45706</v>
      </c>
      <c r="G1273" s="2">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2">
        <v>45706</v>
      </c>
      <c r="G1274" s="2">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2">
        <v>45706</v>
      </c>
      <c r="G1275" s="2">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2">
        <v>45706</v>
      </c>
      <c r="G1276" s="2">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2">
        <v>45706</v>
      </c>
      <c r="G1277" s="2">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2">
        <v>45706</v>
      </c>
      <c r="G1278" s="2">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2">
        <v>45706</v>
      </c>
      <c r="G1279" s="2">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2">
        <v>45706</v>
      </c>
      <c r="G1280" s="2">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2">
        <v>45706</v>
      </c>
      <c r="G1281" s="2">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2">
        <v>45706</v>
      </c>
      <c r="G1282" s="2">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2">
        <v>45706</v>
      </c>
      <c r="G1283" s="2">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2">
        <v>45706</v>
      </c>
      <c r="G1284" s="2">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2">
        <v>45706</v>
      </c>
      <c r="G1285" s="2">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2">
        <v>45706</v>
      </c>
      <c r="G1286" s="2">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2">
        <v>45706</v>
      </c>
      <c r="G1287" s="2">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2">
        <v>45707</v>
      </c>
      <c r="G1288" s="2">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2">
        <v>45707</v>
      </c>
      <c r="G1289" s="2">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2">
        <v>45707</v>
      </c>
      <c r="G1290" s="2">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2">
        <v>45707</v>
      </c>
      <c r="G1291" s="2">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2">
        <v>45707</v>
      </c>
      <c r="G1292" s="2">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2">
        <v>45707</v>
      </c>
      <c r="G1293" s="2">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2">
        <v>45707</v>
      </c>
      <c r="G1294" s="2">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2">
        <v>45707</v>
      </c>
      <c r="G1295" s="2">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2">
        <v>45707</v>
      </c>
      <c r="G1296" s="2">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2">
        <v>45707</v>
      </c>
      <c r="G1297" s="2">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2">
        <v>45707</v>
      </c>
      <c r="G1298" s="2">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2">
        <v>45707</v>
      </c>
      <c r="G1299" s="2">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2">
        <v>45707</v>
      </c>
      <c r="G1300" s="2">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2">
        <v>45707</v>
      </c>
      <c r="G1301" s="2">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2">
        <v>45707</v>
      </c>
      <c r="G1302" s="2">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2">
        <v>45707</v>
      </c>
      <c r="G1303" s="2">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2">
        <v>45707</v>
      </c>
      <c r="G1304" s="2">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2">
        <v>45707</v>
      </c>
      <c r="G1305" s="2">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2">
        <v>45707</v>
      </c>
      <c r="G1306" s="2">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2">
        <v>45707</v>
      </c>
      <c r="G1307" s="2">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2">
        <v>45707</v>
      </c>
      <c r="G1308" s="2">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2">
        <v>45707</v>
      </c>
      <c r="G1309" s="2">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2">
        <v>45707</v>
      </c>
      <c r="G1310" s="2">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2">
        <v>45707</v>
      </c>
      <c r="G1311" s="2">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2">
        <v>45707</v>
      </c>
      <c r="G1312" s="2">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2">
        <v>45707</v>
      </c>
      <c r="G1313" s="2">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2">
        <v>45707</v>
      </c>
      <c r="G1314" s="2">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2">
        <v>45707</v>
      </c>
      <c r="G1315" s="2">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2">
        <v>45707</v>
      </c>
      <c r="G1316" s="2">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2">
        <v>45707</v>
      </c>
      <c r="G1317" s="2">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2">
        <v>45707</v>
      </c>
      <c r="G1318" s="2">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2">
        <v>45708</v>
      </c>
      <c r="G1319" s="2">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2">
        <v>45708</v>
      </c>
      <c r="G1320" s="2">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2">
        <v>45708</v>
      </c>
      <c r="G1321" s="2">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2">
        <v>45708</v>
      </c>
      <c r="G1322" s="2">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2">
        <v>45708</v>
      </c>
      <c r="G1323" s="2">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2">
        <v>45708</v>
      </c>
      <c r="G1324" s="2">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2">
        <v>45708</v>
      </c>
      <c r="G1325" s="2">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2">
        <v>45708</v>
      </c>
      <c r="G1326" s="2">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2">
        <v>45708</v>
      </c>
      <c r="G1327" s="2">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2">
        <v>45708</v>
      </c>
      <c r="G1328" s="2">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2">
        <v>45708</v>
      </c>
      <c r="G1329" s="2">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2">
        <v>45708</v>
      </c>
      <c r="G1330" s="2">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2">
        <v>45708</v>
      </c>
      <c r="G1331" s="2">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2">
        <v>45708</v>
      </c>
      <c r="G1332" s="2">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2">
        <v>45708</v>
      </c>
      <c r="G1333" s="2">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2">
        <v>45708</v>
      </c>
      <c r="G1334" s="2">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2">
        <v>45708</v>
      </c>
      <c r="G1335" s="2">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2">
        <v>45708</v>
      </c>
      <c r="G1336" s="2">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2">
        <v>45708</v>
      </c>
      <c r="G1337" s="2">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2">
        <v>45708</v>
      </c>
      <c r="G1338" s="2">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2">
        <v>45708</v>
      </c>
      <c r="G1339" s="2">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2">
        <v>45708</v>
      </c>
      <c r="G1340" s="2">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2">
        <v>45708</v>
      </c>
      <c r="G1341" s="2">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2">
        <v>45708</v>
      </c>
      <c r="G1342" s="2">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2">
        <v>45708</v>
      </c>
      <c r="G1343" s="2">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2">
        <v>45708</v>
      </c>
      <c r="G1344" s="2">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2">
        <v>45708</v>
      </c>
      <c r="G1345" s="2">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2">
        <v>45708</v>
      </c>
      <c r="G1346" s="2">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2">
        <v>45708</v>
      </c>
      <c r="G1347" s="2">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2">
        <v>45708</v>
      </c>
      <c r="G1348" s="2">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2">
        <v>45708</v>
      </c>
      <c r="G1349" s="2">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2">
        <v>45708</v>
      </c>
      <c r="G1350" s="2">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2">
        <v>45709</v>
      </c>
      <c r="G1351" s="2">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2">
        <v>45709</v>
      </c>
      <c r="G1352" s="2">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2">
        <v>45709</v>
      </c>
      <c r="G1353" s="2">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2">
        <v>45709</v>
      </c>
      <c r="G1354" s="2">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2">
        <v>45709</v>
      </c>
      <c r="G1355" s="2">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2">
        <v>45709</v>
      </c>
      <c r="G1356" s="2">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2">
        <v>45709</v>
      </c>
      <c r="G1357" s="2">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2">
        <v>45709</v>
      </c>
      <c r="G1358" s="2">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2">
        <v>45709</v>
      </c>
      <c r="G1359" s="2">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2">
        <v>45709</v>
      </c>
      <c r="G1360" s="2">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2">
        <v>45709</v>
      </c>
      <c r="G1361" s="2">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2">
        <v>45709</v>
      </c>
      <c r="G1362" s="2">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2">
        <v>45709</v>
      </c>
      <c r="G1363" s="2">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2">
        <v>45709</v>
      </c>
      <c r="G1364" s="2">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2">
        <v>45709</v>
      </c>
      <c r="G1365" s="2">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2">
        <v>45709</v>
      </c>
      <c r="G1366" s="2">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2">
        <v>45709</v>
      </c>
      <c r="G1367" s="2">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2">
        <v>45709</v>
      </c>
      <c r="G1368" s="2">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2">
        <v>45709</v>
      </c>
      <c r="G1369" s="2">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2">
        <v>45709</v>
      </c>
      <c r="G1370" s="2">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2">
        <v>45709</v>
      </c>
      <c r="G1371" s="2">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2">
        <v>45709</v>
      </c>
      <c r="G1372" s="2">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2">
        <v>45709</v>
      </c>
      <c r="G1373" s="2">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2">
        <v>45709</v>
      </c>
      <c r="G1374" s="2">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2">
        <v>45709</v>
      </c>
      <c r="G1375" s="2">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2">
        <v>45709</v>
      </c>
      <c r="G1376" s="2">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2">
        <v>45709</v>
      </c>
      <c r="G1377" s="2">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2">
        <v>45709</v>
      </c>
      <c r="G1378" s="2">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2">
        <v>45709</v>
      </c>
      <c r="G1379" s="2">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2">
        <v>45709</v>
      </c>
      <c r="G1380" s="2">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2">
        <v>45709</v>
      </c>
      <c r="G1381" s="2">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2">
        <v>45709</v>
      </c>
      <c r="G1382" s="2">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2">
        <v>45709</v>
      </c>
      <c r="G1383" s="2">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2">
        <v>45709</v>
      </c>
      <c r="G1384" s="2">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2">
        <v>45709</v>
      </c>
      <c r="G1385" s="2">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2">
        <v>45709</v>
      </c>
      <c r="G1386" s="2">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2">
        <v>45709</v>
      </c>
      <c r="G1387" s="2">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2">
        <v>45709</v>
      </c>
      <c r="G1388" s="2">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2">
        <v>45710</v>
      </c>
      <c r="G1389" s="2">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2">
        <v>45710</v>
      </c>
      <c r="G1390" s="2">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2">
        <v>45710</v>
      </c>
      <c r="G1391" s="2">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2">
        <v>45710</v>
      </c>
      <c r="G1392" s="2">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2">
        <v>45710</v>
      </c>
      <c r="G1393" s="2">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2">
        <v>45710</v>
      </c>
      <c r="G1394" s="2">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2">
        <v>45710</v>
      </c>
      <c r="G1395" s="2">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2">
        <v>45710</v>
      </c>
      <c r="G1396" s="2">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2">
        <v>45710</v>
      </c>
      <c r="G1397" s="2">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2">
        <v>45710</v>
      </c>
      <c r="G1398" s="2">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2">
        <v>45710</v>
      </c>
      <c r="G1399" s="2">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2">
        <v>45710</v>
      </c>
      <c r="G1400" s="2">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2">
        <v>45710</v>
      </c>
      <c r="G1401" s="2">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2">
        <v>45710</v>
      </c>
      <c r="G1402" s="2">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2">
        <v>45710</v>
      </c>
      <c r="G1403" s="2">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2">
        <v>45710</v>
      </c>
      <c r="G1404" s="2">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2">
        <v>45710</v>
      </c>
      <c r="G1405" s="2">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2">
        <v>45710</v>
      </c>
      <c r="G1406" s="2">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2">
        <v>45710</v>
      </c>
      <c r="G1407" s="2">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2">
        <v>45710</v>
      </c>
      <c r="G1408" s="2">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2">
        <v>45710</v>
      </c>
      <c r="G1409" s="2">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2">
        <v>45710</v>
      </c>
      <c r="G1410" s="2">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2">
        <v>45710</v>
      </c>
      <c r="G1411" s="2">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2">
        <v>45710</v>
      </c>
      <c r="G1412" s="2">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2">
        <v>45711</v>
      </c>
      <c r="G1413" s="2">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2">
        <v>45711</v>
      </c>
      <c r="G1414" s="2">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2">
        <v>45711</v>
      </c>
      <c r="G1415" s="2">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2">
        <v>45711</v>
      </c>
      <c r="G1416" s="2">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2">
        <v>45711</v>
      </c>
      <c r="G1417" s="2">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2">
        <v>45711</v>
      </c>
      <c r="G1418" s="2">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2">
        <v>45711</v>
      </c>
      <c r="G1419" s="2">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2">
        <v>45711</v>
      </c>
      <c r="G1420" s="2">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2">
        <v>45711</v>
      </c>
      <c r="G1421" s="2">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2">
        <v>45711</v>
      </c>
      <c r="G1422" s="2">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2">
        <v>45711</v>
      </c>
      <c r="G1423" s="2">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2">
        <v>45711</v>
      </c>
      <c r="G1424" s="2">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2">
        <v>45711</v>
      </c>
      <c r="G1425" s="2">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2">
        <v>45711</v>
      </c>
      <c r="G1426" s="2">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2">
        <v>45711</v>
      </c>
      <c r="G1427" s="2">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2">
        <v>45711</v>
      </c>
      <c r="G1428" s="2">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2">
        <v>45711</v>
      </c>
      <c r="G1429" s="2">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2">
        <v>45711</v>
      </c>
      <c r="G1430" s="2">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2">
        <v>45711</v>
      </c>
      <c r="G1431" s="2">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2">
        <v>45711</v>
      </c>
      <c r="G1432" s="2">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2">
        <v>45711</v>
      </c>
      <c r="G1433" s="2">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2">
        <v>45711</v>
      </c>
      <c r="G1434" s="2">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2">
        <v>45711</v>
      </c>
      <c r="G1435" s="2">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2">
        <v>45711</v>
      </c>
      <c r="G1436" s="2">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2">
        <v>45711</v>
      </c>
      <c r="G1437" s="2">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2">
        <v>45711</v>
      </c>
      <c r="G1438" s="2">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2">
        <v>45711</v>
      </c>
      <c r="G1439" s="2">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2">
        <v>45711</v>
      </c>
      <c r="G1440" s="2">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2">
        <v>45711</v>
      </c>
      <c r="G1441" s="2">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2">
        <v>45711</v>
      </c>
      <c r="G1442" s="2">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2">
        <v>45711</v>
      </c>
      <c r="G1443" s="2">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2">
        <v>45711</v>
      </c>
      <c r="G1444" s="2">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2">
        <v>45711</v>
      </c>
      <c r="G1445" s="2">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2">
        <v>45711</v>
      </c>
      <c r="G1446" s="2">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2">
        <v>45711</v>
      </c>
      <c r="G1447" s="2">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2">
        <v>45711</v>
      </c>
      <c r="G1448" s="2">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2">
        <v>45711</v>
      </c>
      <c r="G1449" s="2">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2">
        <v>45712</v>
      </c>
      <c r="G1450" s="2">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2">
        <v>45712</v>
      </c>
      <c r="G1451" s="2">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2">
        <v>45712</v>
      </c>
      <c r="G1452" s="2">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2">
        <v>45712</v>
      </c>
      <c r="G1453" s="2">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2">
        <v>45712</v>
      </c>
      <c r="G1454" s="2">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2">
        <v>45712</v>
      </c>
      <c r="G1455" s="2">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2">
        <v>45712</v>
      </c>
      <c r="G1456" s="2">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2">
        <v>45712</v>
      </c>
      <c r="G1457" s="2">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2">
        <v>45712</v>
      </c>
      <c r="G1458" s="2">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2">
        <v>45712</v>
      </c>
      <c r="G1459" s="2">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2">
        <v>45712</v>
      </c>
      <c r="G1460" s="2">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2">
        <v>45712</v>
      </c>
      <c r="G1461" s="2">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2">
        <v>45712</v>
      </c>
      <c r="G1462" s="2">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2">
        <v>45712</v>
      </c>
      <c r="G1463" s="2">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2">
        <v>45712</v>
      </c>
      <c r="G1464" s="2">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2">
        <v>45712</v>
      </c>
      <c r="G1465" s="2">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2">
        <v>45712</v>
      </c>
      <c r="G1466" s="2">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2">
        <v>45712</v>
      </c>
      <c r="G1467" s="2">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2">
        <v>45712</v>
      </c>
      <c r="G1468" s="2">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2">
        <v>45712</v>
      </c>
      <c r="G1469" s="2">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2">
        <v>45712</v>
      </c>
      <c r="G1470" s="2">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2">
        <v>45712</v>
      </c>
      <c r="G1471" s="2">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2">
        <v>45712</v>
      </c>
      <c r="G1472" s="2">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2">
        <v>45712</v>
      </c>
      <c r="G1473" s="2">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2">
        <v>45712</v>
      </c>
      <c r="G1474" s="2">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2">
        <v>45712</v>
      </c>
      <c r="G1475" s="2">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2">
        <v>45712</v>
      </c>
      <c r="G1476" s="2">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2">
        <v>45712</v>
      </c>
      <c r="G1477" s="2">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2">
        <v>45712</v>
      </c>
      <c r="G1478" s="2">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2">
        <v>45713</v>
      </c>
      <c r="G1479" s="2">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2">
        <v>45713</v>
      </c>
      <c r="G1480" s="2">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2">
        <v>45713</v>
      </c>
      <c r="G1481" s="2">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2">
        <v>45713</v>
      </c>
      <c r="G1482" s="2">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2">
        <v>45713</v>
      </c>
      <c r="G1483" s="2">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2">
        <v>45713</v>
      </c>
      <c r="G1484" s="2">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2">
        <v>45713</v>
      </c>
      <c r="G1485" s="2">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2">
        <v>45713</v>
      </c>
      <c r="G1486" s="2">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2">
        <v>45713</v>
      </c>
      <c r="G1487" s="2">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2">
        <v>45713</v>
      </c>
      <c r="G1488" s="2">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2">
        <v>45713</v>
      </c>
      <c r="G1489" s="2">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2">
        <v>45713</v>
      </c>
      <c r="G1490" s="2">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2">
        <v>45713</v>
      </c>
      <c r="G1491" s="2">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2">
        <v>45713</v>
      </c>
      <c r="G1492" s="2">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2">
        <v>45713</v>
      </c>
      <c r="G1493" s="2">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2">
        <v>45713</v>
      </c>
      <c r="G1494" s="2">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2">
        <v>45713</v>
      </c>
      <c r="G1495" s="2">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2">
        <v>45713</v>
      </c>
      <c r="G1496" s="2">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2">
        <v>45713</v>
      </c>
      <c r="G1497" s="2">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2">
        <v>45713</v>
      </c>
      <c r="G1498" s="2">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2">
        <v>45713</v>
      </c>
      <c r="G1499" s="2">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2">
        <v>45713</v>
      </c>
      <c r="G1500" s="2">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2">
        <v>45713</v>
      </c>
      <c r="G1501" s="2">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2">
        <v>45713</v>
      </c>
      <c r="G1502" s="2">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2">
        <v>45713</v>
      </c>
      <c r="G1503" s="2">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2">
        <v>45713</v>
      </c>
      <c r="G1504" s="2">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2">
        <v>45713</v>
      </c>
      <c r="G1505" s="2">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2">
        <v>45713</v>
      </c>
      <c r="G1506" s="2">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2">
        <v>45713</v>
      </c>
      <c r="G1507" s="2">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2">
        <v>45713</v>
      </c>
      <c r="G1508" s="2">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2">
        <v>45713</v>
      </c>
      <c r="G1509" s="2">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2">
        <v>45713</v>
      </c>
      <c r="G1510" s="2">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2">
        <v>45713</v>
      </c>
      <c r="G1511" s="2">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2">
        <v>45713</v>
      </c>
      <c r="G1512" s="2">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2">
        <v>45713</v>
      </c>
      <c r="G1513" s="2">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2">
        <v>45714</v>
      </c>
      <c r="G1514" s="2">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2">
        <v>45714</v>
      </c>
      <c r="G1515" s="2">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2">
        <v>45714</v>
      </c>
      <c r="G1516" s="2">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2">
        <v>45714</v>
      </c>
      <c r="G1517" s="2">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2">
        <v>45714</v>
      </c>
      <c r="G1518" s="2">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2">
        <v>45714</v>
      </c>
      <c r="G1519" s="2">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2">
        <v>45714</v>
      </c>
      <c r="G1520" s="2">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2">
        <v>45714</v>
      </c>
      <c r="G1521" s="2">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2">
        <v>45714</v>
      </c>
      <c r="G1522" s="2">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2">
        <v>45714</v>
      </c>
      <c r="G1523" s="2">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2">
        <v>45714</v>
      </c>
      <c r="G1524" s="2">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2">
        <v>45714</v>
      </c>
      <c r="G1525" s="2">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2">
        <v>45714</v>
      </c>
      <c r="G1526" s="2">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2">
        <v>45714</v>
      </c>
      <c r="G1527" s="2">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2">
        <v>45714</v>
      </c>
      <c r="G1528" s="2">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2">
        <v>45714</v>
      </c>
      <c r="G1529" s="2">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2">
        <v>45714</v>
      </c>
      <c r="G1530" s="2">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2">
        <v>45714</v>
      </c>
      <c r="G1531" s="2">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2">
        <v>45714</v>
      </c>
      <c r="G1532" s="2">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2">
        <v>45714</v>
      </c>
      <c r="G1533" s="2">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2">
        <v>45714</v>
      </c>
      <c r="G1534" s="2">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2">
        <v>45714</v>
      </c>
      <c r="G1535" s="2">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2">
        <v>45714</v>
      </c>
      <c r="G1536" s="2">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2">
        <v>45714</v>
      </c>
      <c r="G1537" s="2">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2">
        <v>45714</v>
      </c>
      <c r="G1538" s="2">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2">
        <v>45714</v>
      </c>
      <c r="G1539" s="2">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2">
        <v>45714</v>
      </c>
      <c r="G1540" s="2">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2">
        <v>45714</v>
      </c>
      <c r="G1541" s="2">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2">
        <v>45715</v>
      </c>
      <c r="G1542" s="2">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2">
        <v>45715</v>
      </c>
      <c r="G1543" s="2">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2">
        <v>45715</v>
      </c>
      <c r="G1544" s="2">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2">
        <v>45715</v>
      </c>
      <c r="G1545" s="2">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2">
        <v>45715</v>
      </c>
      <c r="G1546" s="2">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2">
        <v>45715</v>
      </c>
      <c r="G1547" s="2">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2">
        <v>45715</v>
      </c>
      <c r="G1548" s="2">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2">
        <v>45715</v>
      </c>
      <c r="G1549" s="2">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2">
        <v>45715</v>
      </c>
      <c r="G1550" s="2">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2">
        <v>45715</v>
      </c>
      <c r="G1551" s="2">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2">
        <v>45715</v>
      </c>
      <c r="G1552" s="2">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2">
        <v>45715</v>
      </c>
      <c r="G1553" s="2">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2">
        <v>45715</v>
      </c>
      <c r="G1554" s="2">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2">
        <v>45715</v>
      </c>
      <c r="G1555" s="2">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2">
        <v>45715</v>
      </c>
      <c r="G1556" s="2">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2">
        <v>45715</v>
      </c>
      <c r="G1557" s="2">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2">
        <v>45715</v>
      </c>
      <c r="G1558" s="2">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2">
        <v>45715</v>
      </c>
      <c r="G1559" s="2">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2">
        <v>45715</v>
      </c>
      <c r="G1560" s="2">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2">
        <v>45715</v>
      </c>
      <c r="G1561" s="2">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2">
        <v>45715</v>
      </c>
      <c r="G1562" s="2">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2">
        <v>45715</v>
      </c>
      <c r="G1563" s="2">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2">
        <v>45716</v>
      </c>
      <c r="G1564" s="2">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2">
        <v>45716</v>
      </c>
      <c r="G1565" s="2">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2">
        <v>45716</v>
      </c>
      <c r="G1566" s="2">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2">
        <v>45716</v>
      </c>
      <c r="G1567" s="2">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2">
        <v>45716</v>
      </c>
      <c r="G1568" s="2">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2">
        <v>45716</v>
      </c>
      <c r="G1569" s="2">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2">
        <v>45716</v>
      </c>
      <c r="G1570" s="2">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2">
        <v>45716</v>
      </c>
      <c r="G1571" s="2">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2">
        <v>45716</v>
      </c>
      <c r="G1572" s="2">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2">
        <v>45716</v>
      </c>
      <c r="G1573" s="2">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2">
        <v>45716</v>
      </c>
      <c r="G1574" s="2">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2">
        <v>45716</v>
      </c>
      <c r="G1575" s="2">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2">
        <v>45716</v>
      </c>
      <c r="G1576" s="2">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2">
        <v>45716</v>
      </c>
      <c r="G1577" s="2">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2">
        <v>45716</v>
      </c>
      <c r="G1578" s="2">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2">
        <v>45716</v>
      </c>
      <c r="G1579" s="2">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2">
        <v>45716</v>
      </c>
      <c r="G1580" s="2">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2">
        <v>45716</v>
      </c>
      <c r="G1581" s="2">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2">
        <v>45716</v>
      </c>
      <c r="G1582" s="2">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2">
        <v>45716</v>
      </c>
      <c r="G1583" s="2">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2">
        <v>45716</v>
      </c>
      <c r="G1584" s="2">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2">
        <v>45716</v>
      </c>
      <c r="G1585" s="2">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2">
        <v>45716</v>
      </c>
      <c r="G1586" s="2">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2">
        <v>45716</v>
      </c>
      <c r="G1587" s="2">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2">
        <v>45716</v>
      </c>
      <c r="G1588" s="2">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2">
        <v>45716</v>
      </c>
      <c r="G1589" s="2">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2">
        <v>45716</v>
      </c>
      <c r="G1590" s="2">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2">
        <v>45716</v>
      </c>
      <c r="G1591" s="2">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2">
        <v>45716</v>
      </c>
      <c r="G1592" s="2">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2">
        <v>45717</v>
      </c>
      <c r="G1593" s="2">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2">
        <v>45717</v>
      </c>
      <c r="G1594" s="2">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2">
        <v>45717</v>
      </c>
      <c r="G1595" s="2">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2">
        <v>45717</v>
      </c>
      <c r="G1596" s="2">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2">
        <v>45717</v>
      </c>
      <c r="G1597" s="2">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2">
        <v>45717</v>
      </c>
      <c r="G1598" s="2">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2">
        <v>45717</v>
      </c>
      <c r="G1599" s="2">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2">
        <v>45717</v>
      </c>
      <c r="G1600" s="2">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2">
        <v>45717</v>
      </c>
      <c r="G1601" s="2">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2">
        <v>45717</v>
      </c>
      <c r="G1602" s="2">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2">
        <v>45717</v>
      </c>
      <c r="G1603" s="2">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2">
        <v>45717</v>
      </c>
      <c r="G1604" s="2">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2">
        <v>45717</v>
      </c>
      <c r="G1605" s="2">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2">
        <v>45717</v>
      </c>
      <c r="G1606" s="2">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2">
        <v>45717</v>
      </c>
      <c r="G1607" s="2">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2">
        <v>45717</v>
      </c>
      <c r="G1608" s="2">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2">
        <v>45717</v>
      </c>
      <c r="G1609" s="2">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2">
        <v>45717</v>
      </c>
      <c r="G1610" s="2">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2">
        <v>45717</v>
      </c>
      <c r="G1611" s="2">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2">
        <v>45717</v>
      </c>
      <c r="G1612" s="2">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2">
        <v>45717</v>
      </c>
      <c r="G1613" s="2">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2">
        <v>45717</v>
      </c>
      <c r="G1614" s="2">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2">
        <v>45718</v>
      </c>
      <c r="G1615" s="2">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2">
        <v>45718</v>
      </c>
      <c r="G1616" s="2">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2">
        <v>45718</v>
      </c>
      <c r="G1617" s="2">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2">
        <v>45718</v>
      </c>
      <c r="G1618" s="2">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2">
        <v>45718</v>
      </c>
      <c r="G1619" s="2">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2">
        <v>45718</v>
      </c>
      <c r="G1620" s="2">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2">
        <v>45718</v>
      </c>
      <c r="G1621" s="2">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2">
        <v>45718</v>
      </c>
      <c r="G1622" s="2">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2">
        <v>45718</v>
      </c>
      <c r="G1623" s="2">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2">
        <v>45718</v>
      </c>
      <c r="G1624" s="2">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2">
        <v>45718</v>
      </c>
      <c r="G1625" s="2">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2">
        <v>45718</v>
      </c>
      <c r="G1626" s="2">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2">
        <v>45718</v>
      </c>
      <c r="G1627" s="2">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2">
        <v>45718</v>
      </c>
      <c r="G1628" s="2">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2">
        <v>45718</v>
      </c>
      <c r="G1629" s="2">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2">
        <v>45718</v>
      </c>
      <c r="G1630" s="2">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2">
        <v>45718</v>
      </c>
      <c r="G1631" s="2">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2">
        <v>45718</v>
      </c>
      <c r="G1632" s="2">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2">
        <v>45718</v>
      </c>
      <c r="G1633" s="2">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2">
        <v>45718</v>
      </c>
      <c r="G1634" s="2">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2">
        <v>45718</v>
      </c>
      <c r="G1635" s="2">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2">
        <v>45718</v>
      </c>
      <c r="G1636" s="2">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2">
        <v>45718</v>
      </c>
      <c r="G1637" s="2">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2">
        <v>45718</v>
      </c>
      <c r="G1638" s="2">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2">
        <v>45718</v>
      </c>
      <c r="G1639" s="2">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2">
        <v>45718</v>
      </c>
      <c r="G1640" s="2">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2">
        <v>45718</v>
      </c>
      <c r="G1641" s="2">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2">
        <v>45718</v>
      </c>
      <c r="G1642" s="2">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2">
        <v>45719</v>
      </c>
      <c r="G1643" s="2">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2">
        <v>45719</v>
      </c>
      <c r="G1644" s="2">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2">
        <v>45719</v>
      </c>
      <c r="G1645" s="2">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2">
        <v>45719</v>
      </c>
      <c r="G1646" s="2">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2">
        <v>45719</v>
      </c>
      <c r="G1647" s="2">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2">
        <v>45719</v>
      </c>
      <c r="G1648" s="2">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2">
        <v>45719</v>
      </c>
      <c r="G1649" s="2">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2">
        <v>45719</v>
      </c>
      <c r="G1650" s="2">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2">
        <v>45719</v>
      </c>
      <c r="G1651" s="2">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2">
        <v>45719</v>
      </c>
      <c r="G1652" s="2">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2">
        <v>45719</v>
      </c>
      <c r="G1653" s="2">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2">
        <v>45719</v>
      </c>
      <c r="G1654" s="2">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2">
        <v>45719</v>
      </c>
      <c r="G1655" s="2">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2">
        <v>45719</v>
      </c>
      <c r="G1656" s="2">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2">
        <v>45719</v>
      </c>
      <c r="G1657" s="2">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2">
        <v>45719</v>
      </c>
      <c r="G1658" s="2">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2">
        <v>45719</v>
      </c>
      <c r="G1659" s="2">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2">
        <v>45719</v>
      </c>
      <c r="G1660" s="2">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2">
        <v>45719</v>
      </c>
      <c r="G1661" s="2">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2">
        <v>45719</v>
      </c>
      <c r="G1662" s="2">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2">
        <v>45719</v>
      </c>
      <c r="G1663" s="2">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2">
        <v>45719</v>
      </c>
      <c r="G1664" s="2">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2">
        <v>45719</v>
      </c>
      <c r="G1665" s="2">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2">
        <v>45719</v>
      </c>
      <c r="G1666" s="2">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2">
        <v>45719</v>
      </c>
      <c r="G1667" s="2">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2">
        <v>45719</v>
      </c>
      <c r="G1668" s="2">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2">
        <v>45719</v>
      </c>
      <c r="G1669" s="2">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2">
        <v>45719</v>
      </c>
      <c r="G1670" s="2">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2">
        <v>45719</v>
      </c>
      <c r="G1671" s="2">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2">
        <v>45719</v>
      </c>
      <c r="G1672" s="2">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2">
        <v>45719</v>
      </c>
      <c r="G1673" s="2">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2">
        <v>45719</v>
      </c>
      <c r="G1674" s="2">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2">
        <v>45720</v>
      </c>
      <c r="G1675" s="2">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2">
        <v>45720</v>
      </c>
      <c r="G1676" s="2">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2">
        <v>45720</v>
      </c>
      <c r="G1677" s="2">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2">
        <v>45720</v>
      </c>
      <c r="G1678" s="2">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2">
        <v>45720</v>
      </c>
      <c r="G1679" s="2">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2">
        <v>45720</v>
      </c>
      <c r="G1680" s="2">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2">
        <v>45720</v>
      </c>
      <c r="G1681" s="2">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2">
        <v>45720</v>
      </c>
      <c r="G1682" s="2">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2">
        <v>45720</v>
      </c>
      <c r="G1683" s="2">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2">
        <v>45720</v>
      </c>
      <c r="G1684" s="2">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2">
        <v>45720</v>
      </c>
      <c r="G1685" s="2">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2">
        <v>45720</v>
      </c>
      <c r="G1686" s="2">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2">
        <v>45720</v>
      </c>
      <c r="G1687" s="2">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2">
        <v>45720</v>
      </c>
      <c r="G1688" s="2">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2">
        <v>45720</v>
      </c>
      <c r="G1689" s="2">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2">
        <v>45720</v>
      </c>
      <c r="G1690" s="2">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2">
        <v>45720</v>
      </c>
      <c r="G1691" s="2">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2">
        <v>45720</v>
      </c>
      <c r="G1692" s="2">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2">
        <v>45720</v>
      </c>
      <c r="G1693" s="2">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2">
        <v>45720</v>
      </c>
      <c r="G1694" s="2">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2">
        <v>45720</v>
      </c>
      <c r="G1695" s="2">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2">
        <v>45720</v>
      </c>
      <c r="G1696" s="2">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2">
        <v>45720</v>
      </c>
      <c r="G1697" s="2">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2">
        <v>45720</v>
      </c>
      <c r="G1698" s="2">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2">
        <v>45720</v>
      </c>
      <c r="G1699" s="2">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2">
        <v>45720</v>
      </c>
      <c r="G1700" s="2">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2">
        <v>45720</v>
      </c>
      <c r="G1701" s="2">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2">
        <v>45720</v>
      </c>
      <c r="G1702" s="2">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2">
        <v>45720</v>
      </c>
      <c r="G1703" s="2">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2">
        <v>45720</v>
      </c>
      <c r="G1704" s="2">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2">
        <v>45720</v>
      </c>
      <c r="G1705" s="2">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2">
        <v>45720</v>
      </c>
      <c r="G1706" s="2">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2">
        <v>45720</v>
      </c>
      <c r="G1707" s="2">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2">
        <v>45720</v>
      </c>
      <c r="G1708" s="2">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2">
        <v>45720</v>
      </c>
      <c r="G1709" s="2">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2">
        <v>45720</v>
      </c>
      <c r="G1710" s="2">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2">
        <v>45720</v>
      </c>
      <c r="G1711" s="2">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2">
        <v>45720</v>
      </c>
      <c r="G1712" s="2">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2">
        <v>45720</v>
      </c>
      <c r="G1713" s="2">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2">
        <v>45720</v>
      </c>
      <c r="G1714" s="2">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2">
        <v>45720</v>
      </c>
      <c r="G1715" s="2">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2">
        <v>45720</v>
      </c>
      <c r="G1716" s="2">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2">
        <v>45720</v>
      </c>
      <c r="G1717" s="2">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2">
        <v>45720</v>
      </c>
      <c r="G1718" s="2">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2">
        <v>45720</v>
      </c>
      <c r="G1719" s="2">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2">
        <v>45720</v>
      </c>
      <c r="G1720" s="2">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2">
        <v>45720</v>
      </c>
      <c r="G1721" s="2">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2">
        <v>45721</v>
      </c>
      <c r="G1722" s="2">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2">
        <v>45721</v>
      </c>
      <c r="G1723" s="2">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2">
        <v>45721</v>
      </c>
      <c r="G1724" s="2">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2">
        <v>45721</v>
      </c>
      <c r="G1725" s="2">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2">
        <v>45721</v>
      </c>
      <c r="G1726" s="2">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2">
        <v>45721</v>
      </c>
      <c r="G1727" s="2">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2">
        <v>45721</v>
      </c>
      <c r="G1728" s="2">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2">
        <v>45721</v>
      </c>
      <c r="G1729" s="2">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2">
        <v>45721</v>
      </c>
      <c r="G1730" s="2">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2">
        <v>45721</v>
      </c>
      <c r="G1731" s="2">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2">
        <v>45721</v>
      </c>
      <c r="G1732" s="2">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2">
        <v>45721</v>
      </c>
      <c r="G1733" s="2">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2">
        <v>45721</v>
      </c>
      <c r="G1734" s="2">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2">
        <v>45721</v>
      </c>
      <c r="G1735" s="2">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2">
        <v>45721</v>
      </c>
      <c r="G1736" s="2">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2">
        <v>45721</v>
      </c>
      <c r="G1737" s="2">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2">
        <v>45721</v>
      </c>
      <c r="G1738" s="2">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2">
        <v>45721</v>
      </c>
      <c r="G1739" s="2">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2">
        <v>45721</v>
      </c>
      <c r="G1740" s="2">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2">
        <v>45721</v>
      </c>
      <c r="G1741" s="2">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2">
        <v>45721</v>
      </c>
      <c r="G1742" s="2">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2">
        <v>45721</v>
      </c>
      <c r="G1743" s="2">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2">
        <v>45721</v>
      </c>
      <c r="G1744" s="2">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2">
        <v>45721</v>
      </c>
      <c r="G1745" s="2">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2">
        <v>45721</v>
      </c>
      <c r="G1746" s="2">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2">
        <v>45721</v>
      </c>
      <c r="G1747" s="2">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2">
        <v>45721</v>
      </c>
      <c r="G1748" s="2">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2">
        <v>45721</v>
      </c>
      <c r="G1749" s="2">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2">
        <v>45721</v>
      </c>
      <c r="G1750" s="2">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2">
        <v>45721</v>
      </c>
      <c r="G1751" s="2">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2">
        <v>45721</v>
      </c>
      <c r="G1752" s="2">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2">
        <v>45721</v>
      </c>
      <c r="G1753" s="2">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2">
        <v>45721</v>
      </c>
      <c r="G1754" s="2">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2">
        <v>45721</v>
      </c>
      <c r="G1755" s="2">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2">
        <v>45721</v>
      </c>
      <c r="G1756" s="2">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2">
        <v>45722</v>
      </c>
      <c r="G1757" s="2">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2">
        <v>45722</v>
      </c>
      <c r="G1758" s="2">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2">
        <v>45722</v>
      </c>
      <c r="G1759" s="2">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2">
        <v>45722</v>
      </c>
      <c r="G1760" s="2">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2">
        <v>45722</v>
      </c>
      <c r="G1761" s="2">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2">
        <v>45722</v>
      </c>
      <c r="G1762" s="2">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2">
        <v>45722</v>
      </c>
      <c r="G1763" s="2">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2">
        <v>45722</v>
      </c>
      <c r="G1764" s="2">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2">
        <v>45722</v>
      </c>
      <c r="G1765" s="2">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2">
        <v>45722</v>
      </c>
      <c r="G1766" s="2">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2">
        <v>45722</v>
      </c>
      <c r="G1767" s="2">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2">
        <v>45722</v>
      </c>
      <c r="G1768" s="2">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2">
        <v>45722</v>
      </c>
      <c r="G1769" s="2">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2">
        <v>45722</v>
      </c>
      <c r="G1770" s="2">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2">
        <v>45722</v>
      </c>
      <c r="G1771" s="2">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2">
        <v>45722</v>
      </c>
      <c r="G1772" s="2">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2">
        <v>45722</v>
      </c>
      <c r="G1773" s="2">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2">
        <v>45722</v>
      </c>
      <c r="G1774" s="2">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2">
        <v>45722</v>
      </c>
      <c r="G1775" s="2">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2">
        <v>45722</v>
      </c>
      <c r="G1776" s="2">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2">
        <v>45722</v>
      </c>
      <c r="G1777" s="2">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2">
        <v>45722</v>
      </c>
      <c r="G1778" s="2">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2">
        <v>45722</v>
      </c>
      <c r="G1779" s="2">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2">
        <v>45722</v>
      </c>
      <c r="G1780" s="2">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2">
        <v>45722</v>
      </c>
      <c r="G1781" s="2">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2">
        <v>45722</v>
      </c>
      <c r="G1782" s="2">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2">
        <v>45722</v>
      </c>
      <c r="G1783" s="2">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2">
        <v>45722</v>
      </c>
      <c r="G1784" s="2">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2">
        <v>45722</v>
      </c>
      <c r="G1785" s="2">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2">
        <v>45722</v>
      </c>
      <c r="G1786" s="2">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2">
        <v>45722</v>
      </c>
      <c r="G1787" s="2">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2">
        <v>45722</v>
      </c>
      <c r="G1788" s="2">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2">
        <v>45723</v>
      </c>
      <c r="G1789" s="2">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2">
        <v>45723</v>
      </c>
      <c r="G1790" s="2">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2">
        <v>45723</v>
      </c>
      <c r="G1791" s="2">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2">
        <v>45723</v>
      </c>
      <c r="G1792" s="2">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2">
        <v>45723</v>
      </c>
      <c r="G1793" s="2">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2">
        <v>45723</v>
      </c>
      <c r="G1794" s="2">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2">
        <v>45723</v>
      </c>
      <c r="G1795" s="2">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2">
        <v>45723</v>
      </c>
      <c r="G1796" s="2">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2">
        <v>45723</v>
      </c>
      <c r="G1797" s="2">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2">
        <v>45723</v>
      </c>
      <c r="G1798" s="2">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2">
        <v>45723</v>
      </c>
      <c r="G1799" s="2">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2">
        <v>45723</v>
      </c>
      <c r="G1800" s="2">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2">
        <v>45723</v>
      </c>
      <c r="G1801" s="2">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2">
        <v>45723</v>
      </c>
      <c r="G1802" s="2">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2">
        <v>45723</v>
      </c>
      <c r="G1803" s="2">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2">
        <v>45723</v>
      </c>
      <c r="G1804" s="2">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2">
        <v>45723</v>
      </c>
      <c r="G1805" s="2">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2">
        <v>45723</v>
      </c>
      <c r="G1806" s="2">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2">
        <v>45723</v>
      </c>
      <c r="G1807" s="2">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2">
        <v>45724</v>
      </c>
      <c r="G1808" s="2">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2">
        <v>45724</v>
      </c>
      <c r="G1809" s="2">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2">
        <v>45724</v>
      </c>
      <c r="G1810" s="2">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2">
        <v>45724</v>
      </c>
      <c r="G1811" s="2">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2">
        <v>45724</v>
      </c>
      <c r="G1812" s="2">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2">
        <v>45724</v>
      </c>
      <c r="G1813" s="2">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2">
        <v>45724</v>
      </c>
      <c r="G1814" s="2">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2">
        <v>45724</v>
      </c>
      <c r="G1815" s="2">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2">
        <v>45724</v>
      </c>
      <c r="G1816" s="2">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2">
        <v>45724</v>
      </c>
      <c r="G1817" s="2">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2">
        <v>45724</v>
      </c>
      <c r="G1818" s="2">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2">
        <v>45724</v>
      </c>
      <c r="G1819" s="2">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2">
        <v>45724</v>
      </c>
      <c r="G1820" s="2">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2">
        <v>45724</v>
      </c>
      <c r="G1821" s="2">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2">
        <v>45724</v>
      </c>
      <c r="G1822" s="2">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2">
        <v>45724</v>
      </c>
      <c r="G1823" s="2">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2">
        <v>45724</v>
      </c>
      <c r="G1824" s="2">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2">
        <v>45724</v>
      </c>
      <c r="G1825" s="2">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2">
        <v>45724</v>
      </c>
      <c r="G1826" s="2">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2">
        <v>45724</v>
      </c>
      <c r="G1827" s="2">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2">
        <v>45724</v>
      </c>
      <c r="G1828" s="2">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2">
        <v>45725</v>
      </c>
      <c r="G1829" s="2">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2">
        <v>45725</v>
      </c>
      <c r="G1830" s="2">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2">
        <v>45725</v>
      </c>
      <c r="G1831" s="2">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2">
        <v>45725</v>
      </c>
      <c r="G1832" s="2">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2">
        <v>45725</v>
      </c>
      <c r="G1833" s="2">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2">
        <v>45725</v>
      </c>
      <c r="G1834" s="2">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2">
        <v>45725</v>
      </c>
      <c r="G1835" s="2">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2">
        <v>45725</v>
      </c>
      <c r="G1836" s="2">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2">
        <v>45725</v>
      </c>
      <c r="G1837" s="2">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2">
        <v>45725</v>
      </c>
      <c r="G1838" s="2">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2">
        <v>45725</v>
      </c>
      <c r="G1839" s="2">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2">
        <v>45725</v>
      </c>
      <c r="G1840" s="2">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2">
        <v>45725</v>
      </c>
      <c r="G1841" s="2">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2">
        <v>45725</v>
      </c>
      <c r="G1842" s="2">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2">
        <v>45725</v>
      </c>
      <c r="G1843" s="2">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2">
        <v>45725</v>
      </c>
      <c r="G1844" s="2">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2">
        <v>45725</v>
      </c>
      <c r="G1845" s="2">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2">
        <v>45725</v>
      </c>
      <c r="G1846" s="2">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2">
        <v>45725</v>
      </c>
      <c r="G1847" s="2">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2">
        <v>45725</v>
      </c>
      <c r="G1848" s="2">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2">
        <v>45725</v>
      </c>
      <c r="G1849" s="2">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2">
        <v>45725</v>
      </c>
      <c r="G1850" s="2">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2">
        <v>45725</v>
      </c>
      <c r="G1851" s="2">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2">
        <v>45725</v>
      </c>
      <c r="G1852" s="2">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2">
        <v>45725</v>
      </c>
      <c r="G1853" s="2">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2">
        <v>45725</v>
      </c>
      <c r="G1854" s="2">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2">
        <v>45725</v>
      </c>
      <c r="G1855" s="2">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2">
        <v>45726</v>
      </c>
      <c r="G1856" s="2">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2">
        <v>45726</v>
      </c>
      <c r="G1857" s="2">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2">
        <v>45726</v>
      </c>
      <c r="G1858" s="2">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2">
        <v>45726</v>
      </c>
      <c r="G1859" s="2">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2">
        <v>45726</v>
      </c>
      <c r="G1860" s="2">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2">
        <v>45726</v>
      </c>
      <c r="G1861" s="2">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2">
        <v>45726</v>
      </c>
      <c r="G1862" s="2">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2">
        <v>45726</v>
      </c>
      <c r="G1863" s="2">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2">
        <v>45726</v>
      </c>
      <c r="G1864" s="2">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2">
        <v>45726</v>
      </c>
      <c r="G1865" s="2">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2">
        <v>45726</v>
      </c>
      <c r="G1866" s="2">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2">
        <v>45726</v>
      </c>
      <c r="G1867" s="2">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2">
        <v>45726</v>
      </c>
      <c r="G1868" s="2">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2">
        <v>45726</v>
      </c>
      <c r="G1869" s="2">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2">
        <v>45726</v>
      </c>
      <c r="G1870" s="2">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2">
        <v>45726</v>
      </c>
      <c r="G1871" s="2">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2">
        <v>45726</v>
      </c>
      <c r="G1872" s="2">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2">
        <v>45726</v>
      </c>
      <c r="G1873" s="2">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2">
        <v>45726</v>
      </c>
      <c r="G1874" s="2">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2">
        <v>45726</v>
      </c>
      <c r="G1875" s="2">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2">
        <v>45726</v>
      </c>
      <c r="G1876" s="2">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2">
        <v>45726</v>
      </c>
      <c r="G1877" s="2">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2">
        <v>45726</v>
      </c>
      <c r="G1878" s="2">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2">
        <v>45726</v>
      </c>
      <c r="G1879" s="2">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2">
        <v>45726</v>
      </c>
      <c r="G1880" s="2">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2">
        <v>45726</v>
      </c>
      <c r="G1881" s="2">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2">
        <v>45726</v>
      </c>
      <c r="G1882" s="2">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2">
        <v>45726</v>
      </c>
      <c r="G1883" s="2">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2">
        <v>45726</v>
      </c>
      <c r="G1884" s="2">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2">
        <v>45726</v>
      </c>
      <c r="G1885" s="2">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2">
        <v>45726</v>
      </c>
      <c r="G1886" s="2">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2">
        <v>45726</v>
      </c>
      <c r="G1887" s="2">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2">
        <v>45726</v>
      </c>
      <c r="G1888" s="2">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2">
        <v>45726</v>
      </c>
      <c r="G1889" s="2">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2">
        <v>45727</v>
      </c>
      <c r="G1890" s="2">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2">
        <v>45727</v>
      </c>
      <c r="G1891" s="2">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2">
        <v>45727</v>
      </c>
      <c r="G1892" s="2">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2">
        <v>45727</v>
      </c>
      <c r="G1893" s="2">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2">
        <v>45727</v>
      </c>
      <c r="G1894" s="2">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2">
        <v>45727</v>
      </c>
      <c r="G1895" s="2">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2">
        <v>45727</v>
      </c>
      <c r="G1896" s="2">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2">
        <v>45727</v>
      </c>
      <c r="G1897" s="2">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2">
        <v>45727</v>
      </c>
      <c r="G1898" s="2">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2">
        <v>45727</v>
      </c>
      <c r="G1899" s="2">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2">
        <v>45727</v>
      </c>
      <c r="G1900" s="2">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2">
        <v>45727</v>
      </c>
      <c r="G1901" s="2">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2">
        <v>45727</v>
      </c>
      <c r="G1902" s="2">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2">
        <v>45727</v>
      </c>
      <c r="G1903" s="2">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2">
        <v>45727</v>
      </c>
      <c r="G1904" s="2">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2">
        <v>45727</v>
      </c>
      <c r="G1905" s="2">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2">
        <v>45727</v>
      </c>
      <c r="G1906" s="2">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2">
        <v>45727</v>
      </c>
      <c r="G1907" s="2">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2">
        <v>45727</v>
      </c>
      <c r="G1908" s="2">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2">
        <v>45727</v>
      </c>
      <c r="G1909" s="2">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2">
        <v>45727</v>
      </c>
      <c r="G1910" s="2">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2">
        <v>45727</v>
      </c>
      <c r="G1911" s="2">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2">
        <v>45727</v>
      </c>
      <c r="G1912" s="2">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2">
        <v>45727</v>
      </c>
      <c r="G1913" s="2">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2">
        <v>45727</v>
      </c>
      <c r="G1914" s="2">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2">
        <v>45727</v>
      </c>
      <c r="G1915" s="2">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2">
        <v>45727</v>
      </c>
      <c r="G1916" s="2">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2">
        <v>45727</v>
      </c>
      <c r="G1917" s="2">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2">
        <v>45727</v>
      </c>
      <c r="G1918" s="2">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2">
        <v>45727</v>
      </c>
      <c r="G1919" s="2">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2">
        <v>45728</v>
      </c>
      <c r="G1920" s="2">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2">
        <v>45728</v>
      </c>
      <c r="G1921" s="2">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2">
        <v>45728</v>
      </c>
      <c r="G1922" s="2">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2">
        <v>45728</v>
      </c>
      <c r="G1923" s="2">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2">
        <v>45728</v>
      </c>
      <c r="G1924" s="2">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2">
        <v>45728</v>
      </c>
      <c r="G1925" s="2">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2">
        <v>45728</v>
      </c>
      <c r="G1926" s="2">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2">
        <v>45728</v>
      </c>
      <c r="G1927" s="2">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2">
        <v>45728</v>
      </c>
      <c r="G1928" s="2">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2">
        <v>45728</v>
      </c>
      <c r="G1929" s="2">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2">
        <v>45728</v>
      </c>
      <c r="G1930" s="2">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2">
        <v>45728</v>
      </c>
      <c r="G1931" s="2">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2">
        <v>45728</v>
      </c>
      <c r="G1932" s="2">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2">
        <v>45728</v>
      </c>
      <c r="G1933" s="2">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2">
        <v>45728</v>
      </c>
      <c r="G1934" s="2">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2">
        <v>45728</v>
      </c>
      <c r="G1935" s="2">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2">
        <v>45728</v>
      </c>
      <c r="G1936" s="2">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2">
        <v>45728</v>
      </c>
      <c r="G1937" s="2">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2">
        <v>45728</v>
      </c>
      <c r="G1938" s="2">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2">
        <v>45728</v>
      </c>
      <c r="G1939" s="2">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2">
        <v>45728</v>
      </c>
      <c r="G1940" s="2">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2">
        <v>45728</v>
      </c>
      <c r="G1941" s="2">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2">
        <v>45728</v>
      </c>
      <c r="G1942" s="2">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2">
        <v>45728</v>
      </c>
      <c r="G1943" s="2">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2">
        <v>45728</v>
      </c>
      <c r="G1944" s="2">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2">
        <v>45728</v>
      </c>
      <c r="G1945" s="2">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2">
        <v>45728</v>
      </c>
      <c r="G1946" s="2">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2">
        <v>45728</v>
      </c>
      <c r="G1947" s="2">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2">
        <v>45728</v>
      </c>
      <c r="G1948" s="2">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2">
        <v>45728</v>
      </c>
      <c r="G1949" s="2">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2">
        <v>45728</v>
      </c>
      <c r="G1950" s="2">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2">
        <v>45728</v>
      </c>
      <c r="G1951" s="2">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2">
        <v>45729</v>
      </c>
      <c r="G1952" s="2">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2">
        <v>45729</v>
      </c>
      <c r="G1953" s="2">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2">
        <v>45729</v>
      </c>
      <c r="G1954" s="2">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2">
        <v>45729</v>
      </c>
      <c r="G1955" s="2">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2">
        <v>45729</v>
      </c>
      <c r="G1956" s="2">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2">
        <v>45729</v>
      </c>
      <c r="G1957" s="2">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2">
        <v>45729</v>
      </c>
      <c r="G1958" s="2">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2">
        <v>45729</v>
      </c>
      <c r="G1959" s="2">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2">
        <v>45729</v>
      </c>
      <c r="G1960" s="2">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2">
        <v>45729</v>
      </c>
      <c r="G1961" s="2">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2">
        <v>45729</v>
      </c>
      <c r="G1962" s="2">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2">
        <v>45729</v>
      </c>
      <c r="G1963" s="2">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2">
        <v>45729</v>
      </c>
      <c r="G1964" s="2">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2">
        <v>45729</v>
      </c>
      <c r="G1965" s="2">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2">
        <v>45729</v>
      </c>
      <c r="G1966" s="2">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2">
        <v>45729</v>
      </c>
      <c r="G1967" s="2">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2">
        <v>45729</v>
      </c>
      <c r="G1968" s="2">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2">
        <v>45729</v>
      </c>
      <c r="G1969" s="2">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2">
        <v>45729</v>
      </c>
      <c r="G1970" s="2">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2">
        <v>45729</v>
      </c>
      <c r="G1971" s="2">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2">
        <v>45729</v>
      </c>
      <c r="G1972" s="2">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2">
        <v>45729</v>
      </c>
      <c r="G1973" s="2">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2">
        <v>45729</v>
      </c>
      <c r="G1974" s="2">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2">
        <v>45729</v>
      </c>
      <c r="G1975" s="2">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2">
        <v>45729</v>
      </c>
      <c r="G1976" s="2">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2">
        <v>45729</v>
      </c>
      <c r="G1977" s="2">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2">
        <v>45730</v>
      </c>
      <c r="G1978" s="2">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2">
        <v>45730</v>
      </c>
      <c r="G1979" s="2">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2">
        <v>45730</v>
      </c>
      <c r="G1980" s="2">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2">
        <v>45730</v>
      </c>
      <c r="G1981" s="2">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2">
        <v>45730</v>
      </c>
      <c r="G1982" s="2">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2">
        <v>45730</v>
      </c>
      <c r="G1983" s="2">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2">
        <v>45730</v>
      </c>
      <c r="G1984" s="2">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2">
        <v>45730</v>
      </c>
      <c r="G1985" s="2">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2">
        <v>45730</v>
      </c>
      <c r="G1986" s="2">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2">
        <v>45730</v>
      </c>
      <c r="G1987" s="2">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2">
        <v>45730</v>
      </c>
      <c r="G1988" s="2">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2">
        <v>45731</v>
      </c>
      <c r="G1989" s="2">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2">
        <v>45731</v>
      </c>
      <c r="G1990" s="2">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2">
        <v>45731</v>
      </c>
      <c r="G1991" s="2">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2">
        <v>45731</v>
      </c>
      <c r="G1992" s="2">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2">
        <v>45731</v>
      </c>
      <c r="G1993" s="2">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2">
        <v>45731</v>
      </c>
      <c r="G1994" s="2">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2">
        <v>45731</v>
      </c>
      <c r="G1995" s="2">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2">
        <v>45731</v>
      </c>
      <c r="G1996" s="2">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2">
        <v>45731</v>
      </c>
      <c r="G1997" s="2">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2">
        <v>45731</v>
      </c>
      <c r="G1998" s="2">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2">
        <v>45731</v>
      </c>
      <c r="G1999" s="2">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2">
        <v>45731</v>
      </c>
      <c r="G2000" s="2">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2">
        <v>45731</v>
      </c>
      <c r="G2001" s="2">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2">
        <v>45731</v>
      </c>
      <c r="G2002" s="2">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2">
        <v>45731</v>
      </c>
      <c r="G2003" s="2">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2">
        <v>45731</v>
      </c>
      <c r="G2004" s="2">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2">
        <v>45731</v>
      </c>
      <c r="G2005" s="2">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2">
        <v>45731</v>
      </c>
      <c r="G2006" s="2">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2">
        <v>45731</v>
      </c>
      <c r="G2007" s="2">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2">
        <v>45731</v>
      </c>
      <c r="G2008" s="2">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2">
        <v>45731</v>
      </c>
      <c r="G2009" s="2">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2">
        <v>45731</v>
      </c>
      <c r="G2010" s="2">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2">
        <v>45731</v>
      </c>
      <c r="G2011" s="2">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2">
        <v>45731</v>
      </c>
      <c r="G2012" s="2">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2">
        <v>45731</v>
      </c>
      <c r="G2013" s="2">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2">
        <v>45731</v>
      </c>
      <c r="G2014" s="2">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2">
        <v>45731</v>
      </c>
      <c r="G2015" s="2">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2">
        <v>45731</v>
      </c>
      <c r="G2016" s="2">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2">
        <v>45731</v>
      </c>
      <c r="G2017" s="2">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2">
        <v>45732</v>
      </c>
      <c r="G2018" s="2">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2">
        <v>45732</v>
      </c>
      <c r="G2019" s="2">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2">
        <v>45732</v>
      </c>
      <c r="G2020" s="2">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2">
        <v>45732</v>
      </c>
      <c r="G2021" s="2">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2">
        <v>45732</v>
      </c>
      <c r="G2022" s="2">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2">
        <v>45732</v>
      </c>
      <c r="G2023" s="2">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2">
        <v>45732</v>
      </c>
      <c r="G2024" s="2">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2">
        <v>45732</v>
      </c>
      <c r="G2025" s="2">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2">
        <v>45732</v>
      </c>
      <c r="G2026" s="2">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2">
        <v>45732</v>
      </c>
      <c r="G2027" s="2">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2">
        <v>45732</v>
      </c>
      <c r="G2028" s="2">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2">
        <v>45732</v>
      </c>
      <c r="G2029" s="2">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2">
        <v>45732</v>
      </c>
      <c r="G2030" s="2">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2">
        <v>45732</v>
      </c>
      <c r="G2031" s="2">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2">
        <v>45732</v>
      </c>
      <c r="G2032" s="2">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2">
        <v>45732</v>
      </c>
      <c r="G2033" s="2">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2">
        <v>45732</v>
      </c>
      <c r="G2034" s="2">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2">
        <v>45732</v>
      </c>
      <c r="G2035" s="2">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2">
        <v>45732</v>
      </c>
      <c r="G2036" s="2">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2">
        <v>45732</v>
      </c>
      <c r="G2037" s="2">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2">
        <v>45732</v>
      </c>
      <c r="G2038" s="2">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2">
        <v>45732</v>
      </c>
      <c r="G2039" s="2">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2">
        <v>45732</v>
      </c>
      <c r="G2040" s="2">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2">
        <v>45732</v>
      </c>
      <c r="G2041" s="2">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2">
        <v>45732</v>
      </c>
      <c r="G2042" s="2">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2">
        <v>45732</v>
      </c>
      <c r="G2043" s="2">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2">
        <v>45732</v>
      </c>
      <c r="G2044" s="2">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2">
        <v>45732</v>
      </c>
      <c r="G2045" s="2">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2">
        <v>45732</v>
      </c>
      <c r="G2046" s="2">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2">
        <v>45732</v>
      </c>
      <c r="G2047" s="2">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2">
        <v>45732</v>
      </c>
      <c r="G2048" s="2">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2">
        <v>45733</v>
      </c>
      <c r="G2049" s="2">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2">
        <v>45733</v>
      </c>
      <c r="G2050" s="2">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2">
        <v>45733</v>
      </c>
      <c r="G2051" s="2">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2">
        <v>45733</v>
      </c>
      <c r="G2052" s="2">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2">
        <v>45733</v>
      </c>
      <c r="G2053" s="2">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2">
        <v>45733</v>
      </c>
      <c r="G2054" s="2">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2">
        <v>45733</v>
      </c>
      <c r="G2055" s="2">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2">
        <v>45733</v>
      </c>
      <c r="G2056" s="2">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2">
        <v>45733</v>
      </c>
      <c r="G2057" s="2">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2">
        <v>45733</v>
      </c>
      <c r="G2058" s="2">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2">
        <v>45733</v>
      </c>
      <c r="G2059" s="2">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2">
        <v>45733</v>
      </c>
      <c r="G2060" s="2">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2">
        <v>45733</v>
      </c>
      <c r="G2061" s="2">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2">
        <v>45733</v>
      </c>
      <c r="G2062" s="2">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2">
        <v>45733</v>
      </c>
      <c r="G2063" s="2">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2">
        <v>45733</v>
      </c>
      <c r="G2064" s="2">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2">
        <v>45733</v>
      </c>
      <c r="G2065" s="2">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2">
        <v>45733</v>
      </c>
      <c r="G2066" s="2">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2">
        <v>45733</v>
      </c>
      <c r="G2067" s="2">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2">
        <v>45733</v>
      </c>
      <c r="G2068" s="2">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2">
        <v>45733</v>
      </c>
      <c r="G2069" s="2">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2">
        <v>45733</v>
      </c>
      <c r="G2070" s="2">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2">
        <v>45733</v>
      </c>
      <c r="G2071" s="2">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2">
        <v>45733</v>
      </c>
      <c r="G2072" s="2">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2">
        <v>45733</v>
      </c>
      <c r="G2073" s="2">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2">
        <v>45733</v>
      </c>
      <c r="G2074" s="2">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2">
        <v>45733</v>
      </c>
      <c r="G2075" s="2">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2">
        <v>45734</v>
      </c>
      <c r="G2076" s="2">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2">
        <v>45734</v>
      </c>
      <c r="G2077" s="2">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2">
        <v>45734</v>
      </c>
      <c r="G2078" s="2">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2">
        <v>45734</v>
      </c>
      <c r="G2079" s="2">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2">
        <v>45734</v>
      </c>
      <c r="G2080" s="2">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2">
        <v>45734</v>
      </c>
      <c r="G2081" s="2">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2">
        <v>45734</v>
      </c>
      <c r="G2082" s="2">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2">
        <v>45734</v>
      </c>
      <c r="G2083" s="2">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2">
        <v>45734</v>
      </c>
      <c r="G2084" s="2">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2">
        <v>45734</v>
      </c>
      <c r="G2085" s="2">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2">
        <v>45734</v>
      </c>
      <c r="G2086" s="2">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2">
        <v>45734</v>
      </c>
      <c r="G2087" s="2">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2">
        <v>45734</v>
      </c>
      <c r="G2088" s="2">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2">
        <v>45734</v>
      </c>
      <c r="G2089" s="2">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2">
        <v>45734</v>
      </c>
      <c r="G2090" s="2">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2">
        <v>45734</v>
      </c>
      <c r="G2091" s="2">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2">
        <v>45734</v>
      </c>
      <c r="G2092" s="2">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2">
        <v>45734</v>
      </c>
      <c r="G2093" s="2">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2">
        <v>45734</v>
      </c>
      <c r="G2094" s="2">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2">
        <v>45734</v>
      </c>
      <c r="G2095" s="2">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2">
        <v>45734</v>
      </c>
      <c r="G2096" s="2">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2">
        <v>45734</v>
      </c>
      <c r="G2097" s="2">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2">
        <v>45735</v>
      </c>
      <c r="G2098" s="2">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2">
        <v>45735</v>
      </c>
      <c r="G2099" s="2">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2">
        <v>45735</v>
      </c>
      <c r="G2100" s="2">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2">
        <v>45735</v>
      </c>
      <c r="G2101" s="2">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2">
        <v>45735</v>
      </c>
      <c r="G2102" s="2">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2">
        <v>45735</v>
      </c>
      <c r="G2103" s="2">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2">
        <v>45735</v>
      </c>
      <c r="G2104" s="2">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2">
        <v>45735</v>
      </c>
      <c r="G2105" s="2">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2">
        <v>45735</v>
      </c>
      <c r="G2106" s="2">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2">
        <v>45735</v>
      </c>
      <c r="G2107" s="2">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2">
        <v>45735</v>
      </c>
      <c r="G2108" s="2">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2">
        <v>45735</v>
      </c>
      <c r="G2109" s="2">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2">
        <v>45735</v>
      </c>
      <c r="G2110" s="2">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2">
        <v>45735</v>
      </c>
      <c r="G2111" s="2">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2">
        <v>45735</v>
      </c>
      <c r="G2112" s="2">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2">
        <v>45735</v>
      </c>
      <c r="G2113" s="2">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2">
        <v>45735</v>
      </c>
      <c r="G2114" s="2">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2">
        <v>45735</v>
      </c>
      <c r="G2115" s="2">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2">
        <v>45735</v>
      </c>
      <c r="G2116" s="2">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2">
        <v>45735</v>
      </c>
      <c r="G2117" s="2">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2">
        <v>45735</v>
      </c>
      <c r="G2118" s="2">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2">
        <v>45735</v>
      </c>
      <c r="G2119" s="2">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2">
        <v>45735</v>
      </c>
      <c r="G2120" s="2">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2">
        <v>45735</v>
      </c>
      <c r="G2121" s="2">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2">
        <v>45735</v>
      </c>
      <c r="G2122" s="2">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2">
        <v>45735</v>
      </c>
      <c r="G2123" s="2">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2">
        <v>45735</v>
      </c>
      <c r="G2124" s="2">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2">
        <v>45735</v>
      </c>
      <c r="G2125" s="2">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2">
        <v>45735</v>
      </c>
      <c r="G2126" s="2">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2">
        <v>45735</v>
      </c>
      <c r="G2127" s="2">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2">
        <v>45735</v>
      </c>
      <c r="G2128" s="2">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2">
        <v>45735</v>
      </c>
      <c r="G2129" s="2">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2">
        <v>45735</v>
      </c>
      <c r="G2130" s="2">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2">
        <v>45735</v>
      </c>
      <c r="G2131" s="2">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2">
        <v>45735</v>
      </c>
      <c r="G2132" s="2">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2">
        <v>45735</v>
      </c>
      <c r="G2133" s="2">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2">
        <v>45735</v>
      </c>
      <c r="G2134" s="2">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2">
        <v>45735</v>
      </c>
      <c r="G2135" s="2">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2">
        <v>45735</v>
      </c>
      <c r="G2136" s="2">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2">
        <v>45735</v>
      </c>
      <c r="G2137" s="2">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2">
        <v>45735</v>
      </c>
      <c r="G2138" s="2">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2">
        <v>45736</v>
      </c>
      <c r="G2139" s="2">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2">
        <v>45736</v>
      </c>
      <c r="G2140" s="2">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2">
        <v>45736</v>
      </c>
      <c r="G2141" s="2">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2">
        <v>45736</v>
      </c>
      <c r="G2142" s="2">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2">
        <v>45736</v>
      </c>
      <c r="G2143" s="2">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2">
        <v>45736</v>
      </c>
      <c r="G2144" s="2">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2">
        <v>45736</v>
      </c>
      <c r="G2145" s="2">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2">
        <v>45736</v>
      </c>
      <c r="G2146" s="2">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2">
        <v>45736</v>
      </c>
      <c r="G2147" s="2">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2">
        <v>45736</v>
      </c>
      <c r="G2148" s="2">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2">
        <v>45736</v>
      </c>
      <c r="G2149" s="2">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2">
        <v>45736</v>
      </c>
      <c r="G2150" s="2">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2">
        <v>45736</v>
      </c>
      <c r="G2151" s="2">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2">
        <v>45736</v>
      </c>
      <c r="G2152" s="2">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2">
        <v>45736</v>
      </c>
      <c r="G2153" s="2">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2">
        <v>45736</v>
      </c>
      <c r="G2154" s="2">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2">
        <v>45736</v>
      </c>
      <c r="G2155" s="2">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2">
        <v>45736</v>
      </c>
      <c r="G2156" s="2">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2">
        <v>45736</v>
      </c>
      <c r="G2157" s="2">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2">
        <v>45736</v>
      </c>
      <c r="G2158" s="2">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2">
        <v>45736</v>
      </c>
      <c r="G2159" s="2">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2">
        <v>45736</v>
      </c>
      <c r="G2160" s="2">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2">
        <v>45736</v>
      </c>
      <c r="G2161" s="2">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2">
        <v>45736</v>
      </c>
      <c r="G2162" s="2">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2">
        <v>45736</v>
      </c>
      <c r="G2163" s="2">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2">
        <v>45736</v>
      </c>
      <c r="G2164" s="2">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2">
        <v>45736</v>
      </c>
      <c r="G2165" s="2">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2">
        <v>45736</v>
      </c>
      <c r="G2166" s="2">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2">
        <v>45737</v>
      </c>
      <c r="G2167" s="2">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2">
        <v>45737</v>
      </c>
      <c r="G2168" s="2">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2">
        <v>45737</v>
      </c>
      <c r="G2169" s="2">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2">
        <v>45737</v>
      </c>
      <c r="G2170" s="2">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2">
        <v>45737</v>
      </c>
      <c r="G2171" s="2">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2">
        <v>45737</v>
      </c>
      <c r="G2172" s="2">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2">
        <v>45737</v>
      </c>
      <c r="G2173" s="2">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2">
        <v>45737</v>
      </c>
      <c r="G2174" s="2">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2">
        <v>45737</v>
      </c>
      <c r="G2175" s="2">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2">
        <v>45737</v>
      </c>
      <c r="G2176" s="2">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2">
        <v>45737</v>
      </c>
      <c r="G2177" s="2">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2">
        <v>45737</v>
      </c>
      <c r="G2178" s="2">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2">
        <v>45737</v>
      </c>
      <c r="G2179" s="2">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2">
        <v>45737</v>
      </c>
      <c r="G2180" s="2">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2">
        <v>45737</v>
      </c>
      <c r="G2181" s="2">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2">
        <v>45737</v>
      </c>
      <c r="G2182" s="2">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2">
        <v>45737</v>
      </c>
      <c r="G2183" s="2">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2">
        <v>45737</v>
      </c>
      <c r="G2184" s="2">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2">
        <v>45737</v>
      </c>
      <c r="G2185" s="2">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2">
        <v>45737</v>
      </c>
      <c r="G2186" s="2">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2">
        <v>45737</v>
      </c>
      <c r="G2187" s="2">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2">
        <v>45737</v>
      </c>
      <c r="G2188" s="2">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2">
        <v>45737</v>
      </c>
      <c r="G2189" s="2">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2">
        <v>45737</v>
      </c>
      <c r="G2190" s="2">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2">
        <v>45737</v>
      </c>
      <c r="G2191" s="2">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2">
        <v>45737</v>
      </c>
      <c r="G2192" s="2">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2">
        <v>45737</v>
      </c>
      <c r="G2193" s="2">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2">
        <v>45737</v>
      </c>
      <c r="G2194" s="2">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2">
        <v>45738</v>
      </c>
      <c r="G2195" s="2">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2">
        <v>45738</v>
      </c>
      <c r="G2196" s="2">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2">
        <v>45738</v>
      </c>
      <c r="G2197" s="2">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2">
        <v>45738</v>
      </c>
      <c r="G2198" s="2">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2">
        <v>45738</v>
      </c>
      <c r="G2199" s="2">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2">
        <v>45738</v>
      </c>
      <c r="G2200" s="2">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2">
        <v>45738</v>
      </c>
      <c r="G2201" s="2">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2">
        <v>45738</v>
      </c>
      <c r="G2202" s="2">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2">
        <v>45738</v>
      </c>
      <c r="G2203" s="2">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2">
        <v>45738</v>
      </c>
      <c r="G2204" s="2">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2">
        <v>45738</v>
      </c>
      <c r="G2205" s="2">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2">
        <v>45738</v>
      </c>
      <c r="G2206" s="2">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2">
        <v>45738</v>
      </c>
      <c r="G2207" s="2">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2">
        <v>45738</v>
      </c>
      <c r="G2208" s="2">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2">
        <v>45738</v>
      </c>
      <c r="G2209" s="2">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2">
        <v>45738</v>
      </c>
      <c r="G2210" s="2">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2">
        <v>45738</v>
      </c>
      <c r="G2211" s="2">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2">
        <v>45738</v>
      </c>
      <c r="G2212" s="2">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2">
        <v>45738</v>
      </c>
      <c r="G2213" s="2">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2">
        <v>45738</v>
      </c>
      <c r="G2214" s="2">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2">
        <v>45738</v>
      </c>
      <c r="G2215" s="2">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2">
        <v>45738</v>
      </c>
      <c r="G2216" s="2">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2">
        <v>45738</v>
      </c>
      <c r="G2217" s="2">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2">
        <v>45739</v>
      </c>
      <c r="G2218" s="2">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2">
        <v>45739</v>
      </c>
      <c r="G2219" s="2">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2">
        <v>45739</v>
      </c>
      <c r="G2220" s="2">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2">
        <v>45739</v>
      </c>
      <c r="G2221" s="2">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2">
        <v>45739</v>
      </c>
      <c r="G2222" s="2">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2">
        <v>45739</v>
      </c>
      <c r="G2223" s="2">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2">
        <v>45739</v>
      </c>
      <c r="G2224" s="2">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2">
        <v>45739</v>
      </c>
      <c r="G2225" s="2">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2">
        <v>45739</v>
      </c>
      <c r="G2226" s="2">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2">
        <v>45739</v>
      </c>
      <c r="G2227" s="2">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2">
        <v>45739</v>
      </c>
      <c r="G2228" s="2">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2">
        <v>45739</v>
      </c>
      <c r="G2229" s="2">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2">
        <v>45739</v>
      </c>
      <c r="G2230" s="2">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2">
        <v>45739</v>
      </c>
      <c r="G2231" s="2">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2">
        <v>45739</v>
      </c>
      <c r="G2232" s="2">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2">
        <v>45739</v>
      </c>
      <c r="G2233" s="2">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2">
        <v>45739</v>
      </c>
      <c r="G2234" s="2">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2">
        <v>45739</v>
      </c>
      <c r="G2235" s="2">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2">
        <v>45739</v>
      </c>
      <c r="G2236" s="2">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2">
        <v>45740</v>
      </c>
      <c r="G2237" s="2">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2">
        <v>45740</v>
      </c>
      <c r="G2238" s="2">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2">
        <v>45740</v>
      </c>
      <c r="G2239" s="2">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2">
        <v>45740</v>
      </c>
      <c r="G2240" s="2">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2">
        <v>45740</v>
      </c>
      <c r="G2241" s="2">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2">
        <v>45740</v>
      </c>
      <c r="G2242" s="2">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2">
        <v>45740</v>
      </c>
      <c r="G2243" s="2">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2">
        <v>45740</v>
      </c>
      <c r="G2244" s="2">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2">
        <v>45740</v>
      </c>
      <c r="G2245" s="2">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2">
        <v>45740</v>
      </c>
      <c r="G2246" s="2">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2">
        <v>45740</v>
      </c>
      <c r="G2247" s="2">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2">
        <v>45740</v>
      </c>
      <c r="G2248" s="2">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2">
        <v>45740</v>
      </c>
      <c r="G2249" s="2">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2">
        <v>45740</v>
      </c>
      <c r="G2250" s="2">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2">
        <v>45740</v>
      </c>
      <c r="G2251" s="2">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2">
        <v>45740</v>
      </c>
      <c r="G2252" s="2">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2">
        <v>45740</v>
      </c>
      <c r="G2253" s="2">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2">
        <v>45740</v>
      </c>
      <c r="G2254" s="2">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2">
        <v>45740</v>
      </c>
      <c r="G2255" s="2">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2">
        <v>45740</v>
      </c>
      <c r="G2256" s="2">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2">
        <v>45740</v>
      </c>
      <c r="G2257" s="2">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2">
        <v>45740</v>
      </c>
      <c r="G2258" s="2">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2">
        <v>45740</v>
      </c>
      <c r="G2259" s="2">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2">
        <v>45741</v>
      </c>
      <c r="G2260" s="2">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2">
        <v>45741</v>
      </c>
      <c r="G2261" s="2">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2">
        <v>45741</v>
      </c>
      <c r="G2262" s="2">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2">
        <v>45741</v>
      </c>
      <c r="G2263" s="2">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2">
        <v>45741</v>
      </c>
      <c r="G2264" s="2">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2">
        <v>45741</v>
      </c>
      <c r="G2265" s="2">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2">
        <v>45741</v>
      </c>
      <c r="G2266" s="2">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2">
        <v>45741</v>
      </c>
      <c r="G2267" s="2">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2">
        <v>45741</v>
      </c>
      <c r="G2268" s="2">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2">
        <v>45741</v>
      </c>
      <c r="G2269" s="2">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2">
        <v>45741</v>
      </c>
      <c r="G2270" s="2">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2">
        <v>45741</v>
      </c>
      <c r="G2271" s="2">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2">
        <v>45741</v>
      </c>
      <c r="G2272" s="2">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2">
        <v>45741</v>
      </c>
      <c r="G2273" s="2">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2">
        <v>45741</v>
      </c>
      <c r="G2274" s="2">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2">
        <v>45741</v>
      </c>
      <c r="G2275" s="2">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2">
        <v>45741</v>
      </c>
      <c r="G2276" s="2">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2">
        <v>45741</v>
      </c>
      <c r="G2277" s="2">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2">
        <v>45741</v>
      </c>
      <c r="G2278" s="2">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2">
        <v>45741</v>
      </c>
      <c r="G2279" s="2">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2">
        <v>45741</v>
      </c>
      <c r="G2280" s="2">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2">
        <v>45741</v>
      </c>
      <c r="G2281" s="2">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2">
        <v>45741</v>
      </c>
      <c r="G2282" s="2">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2">
        <v>45741</v>
      </c>
      <c r="G2283" s="2">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2">
        <v>45741</v>
      </c>
      <c r="G2284" s="2">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2">
        <v>45741</v>
      </c>
      <c r="G2285" s="2">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2">
        <v>45742</v>
      </c>
      <c r="G2286" s="2">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2">
        <v>45742</v>
      </c>
      <c r="G2287" s="2">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2">
        <v>45742</v>
      </c>
      <c r="G2288" s="2">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2">
        <v>45742</v>
      </c>
      <c r="G2289" s="2">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2">
        <v>45742</v>
      </c>
      <c r="G2290" s="2">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2">
        <v>45742</v>
      </c>
      <c r="G2291" s="2">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2">
        <v>45742</v>
      </c>
      <c r="G2292" s="2">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2">
        <v>45742</v>
      </c>
      <c r="G2293" s="2">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2">
        <v>45742</v>
      </c>
      <c r="G2294" s="2">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2">
        <v>45742</v>
      </c>
      <c r="G2295" s="2">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2">
        <v>45742</v>
      </c>
      <c r="G2296" s="2">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2">
        <v>45742</v>
      </c>
      <c r="G2297" s="2">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2">
        <v>45742</v>
      </c>
      <c r="G2298" s="2">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2">
        <v>45742</v>
      </c>
      <c r="G2299" s="2">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2">
        <v>45742</v>
      </c>
      <c r="G2300" s="2">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2">
        <v>45742</v>
      </c>
      <c r="G2301" s="2">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2">
        <v>45742</v>
      </c>
      <c r="G2302" s="2">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2">
        <v>45742</v>
      </c>
      <c r="G2303" s="2">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2">
        <v>45742</v>
      </c>
      <c r="G2304" s="2">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2">
        <v>45742</v>
      </c>
      <c r="G2305" s="2">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2">
        <v>45742</v>
      </c>
      <c r="G2306" s="2">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2">
        <v>45742</v>
      </c>
      <c r="G2307" s="2">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2">
        <v>45742</v>
      </c>
      <c r="G2308" s="2">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2">
        <v>45742</v>
      </c>
      <c r="G2309" s="2">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2">
        <v>45742</v>
      </c>
      <c r="G2310" s="2">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2">
        <v>45742</v>
      </c>
      <c r="G2311" s="2">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2">
        <v>45742</v>
      </c>
      <c r="G2312" s="2">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2">
        <v>45742</v>
      </c>
      <c r="G2313" s="2">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2">
        <v>45742</v>
      </c>
      <c r="G2314" s="2">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2">
        <v>45742</v>
      </c>
      <c r="G2315" s="2">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2">
        <v>45742</v>
      </c>
      <c r="G2316" s="2">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2">
        <v>45742</v>
      </c>
      <c r="G2317" s="2">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2">
        <v>45742</v>
      </c>
      <c r="G2318" s="2">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2">
        <v>45743</v>
      </c>
      <c r="G2319" s="2">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2">
        <v>45743</v>
      </c>
      <c r="G2320" s="2">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2">
        <v>45743</v>
      </c>
      <c r="G2321" s="2">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2">
        <v>45743</v>
      </c>
      <c r="G2322" s="2">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2">
        <v>45743</v>
      </c>
      <c r="G2323" s="2">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2">
        <v>45743</v>
      </c>
      <c r="G2324" s="2">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2">
        <v>45743</v>
      </c>
      <c r="G2325" s="2">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2">
        <v>45743</v>
      </c>
      <c r="G2326" s="2">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2">
        <v>45743</v>
      </c>
      <c r="G2327" s="2">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2">
        <v>45743</v>
      </c>
      <c r="G2328" s="2">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2">
        <v>45743</v>
      </c>
      <c r="G2329" s="2">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2">
        <v>45743</v>
      </c>
      <c r="G2330" s="2">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2">
        <v>45743</v>
      </c>
      <c r="G2331" s="2">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2">
        <v>45743</v>
      </c>
      <c r="G2332" s="2">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2">
        <v>45743</v>
      </c>
      <c r="G2333" s="2">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2">
        <v>45743</v>
      </c>
      <c r="G2334" s="2">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2">
        <v>45743</v>
      </c>
      <c r="G2335" s="2">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2">
        <v>45743</v>
      </c>
      <c r="G2336" s="2">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2">
        <v>45743</v>
      </c>
      <c r="G2337" s="2">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2">
        <v>45743</v>
      </c>
      <c r="G2338" s="2">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2">
        <v>45743</v>
      </c>
      <c r="G2339" s="2">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2">
        <v>45743</v>
      </c>
      <c r="G2340" s="2">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2">
        <v>45743</v>
      </c>
      <c r="G2341" s="2">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2">
        <v>45743</v>
      </c>
      <c r="G2342" s="2">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2">
        <v>45743</v>
      </c>
      <c r="G2343" s="2">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2">
        <v>45743</v>
      </c>
      <c r="G2344" s="2">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2">
        <v>45743</v>
      </c>
      <c r="G2345" s="2">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2">
        <v>45743</v>
      </c>
      <c r="G2346" s="2">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2">
        <v>45744</v>
      </c>
      <c r="G2347" s="2">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2">
        <v>45744</v>
      </c>
      <c r="G2348" s="2">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2">
        <v>45744</v>
      </c>
      <c r="G2349" s="2">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2">
        <v>45744</v>
      </c>
      <c r="G2350" s="2">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2">
        <v>45744</v>
      </c>
      <c r="G2351" s="2">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2">
        <v>45744</v>
      </c>
      <c r="G2352" s="2">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2">
        <v>45744</v>
      </c>
      <c r="G2353" s="2">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2">
        <v>45744</v>
      </c>
      <c r="G2354" s="2">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2">
        <v>45744</v>
      </c>
      <c r="G2355" s="2">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2">
        <v>45744</v>
      </c>
      <c r="G2356" s="2">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2">
        <v>45744</v>
      </c>
      <c r="G2357" s="2">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2">
        <v>45744</v>
      </c>
      <c r="G2358" s="2">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2">
        <v>45744</v>
      </c>
      <c r="G2359" s="2">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2">
        <v>45744</v>
      </c>
      <c r="G2360" s="2">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2">
        <v>45744</v>
      </c>
      <c r="G2361" s="2">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2">
        <v>45744</v>
      </c>
      <c r="G2362" s="2">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2">
        <v>45744</v>
      </c>
      <c r="G2363" s="2">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2">
        <v>45744</v>
      </c>
      <c r="G2364" s="2">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2">
        <v>45744</v>
      </c>
      <c r="G2365" s="2">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2">
        <v>45744</v>
      </c>
      <c r="G2366" s="2">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2">
        <v>45744</v>
      </c>
      <c r="G2367" s="2">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2">
        <v>45744</v>
      </c>
      <c r="G2368" s="2">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2">
        <v>45744</v>
      </c>
      <c r="G2369" s="2">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2">
        <v>45744</v>
      </c>
      <c r="G2370" s="2">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2">
        <v>45744</v>
      </c>
      <c r="G2371" s="2">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2">
        <v>45744</v>
      </c>
      <c r="G2372" s="2">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2">
        <v>45744</v>
      </c>
      <c r="G2373" s="2">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2">
        <v>45744</v>
      </c>
      <c r="G2374" s="2">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2">
        <v>45744</v>
      </c>
      <c r="G2375" s="2">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2">
        <v>45745</v>
      </c>
      <c r="G2376" s="2">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2">
        <v>45745</v>
      </c>
      <c r="G2377" s="2">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2">
        <v>45745</v>
      </c>
      <c r="G2378" s="2">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2">
        <v>45745</v>
      </c>
      <c r="G2379" s="2">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2">
        <v>45745</v>
      </c>
      <c r="G2380" s="2">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2">
        <v>45745</v>
      </c>
      <c r="G2381" s="2">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2">
        <v>45745</v>
      </c>
      <c r="G2382" s="2">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2">
        <v>45745</v>
      </c>
      <c r="G2383" s="2">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2">
        <v>45745</v>
      </c>
      <c r="G2384" s="2">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2">
        <v>45745</v>
      </c>
      <c r="G2385" s="2">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2">
        <v>45745</v>
      </c>
      <c r="G2386" s="2">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2">
        <v>45745</v>
      </c>
      <c r="G2387" s="2">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2">
        <v>45745</v>
      </c>
      <c r="G2388" s="2">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2">
        <v>45745</v>
      </c>
      <c r="G2389" s="2">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2">
        <v>45745</v>
      </c>
      <c r="G2390" s="2">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2">
        <v>45745</v>
      </c>
      <c r="G2391" s="2">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2">
        <v>45745</v>
      </c>
      <c r="G2392" s="2">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2">
        <v>45745</v>
      </c>
      <c r="G2393" s="2">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2">
        <v>45745</v>
      </c>
      <c r="G2394" s="2">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2">
        <v>45745</v>
      </c>
      <c r="G2395" s="2">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2">
        <v>45745</v>
      </c>
      <c r="G2396" s="2">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2">
        <v>45745</v>
      </c>
      <c r="G2397" s="2">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2">
        <v>45745</v>
      </c>
      <c r="G2398" s="2">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2">
        <v>45745</v>
      </c>
      <c r="G2399" s="2">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2">
        <v>45745</v>
      </c>
      <c r="G2400" s="2">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2">
        <v>45745</v>
      </c>
      <c r="G2401" s="2">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BB6B7-FB14-4DA9-A9BD-08D03939BA23}">
  <dimension ref="A1"/>
  <sheetViews>
    <sheetView tabSelected="1" workbookViewId="0">
      <selection activeCell="AB8" sqref="AB8"/>
    </sheetView>
  </sheetViews>
  <sheetFormatPr defaultRowHeight="14.4" x14ac:dyDescent="0.3"/>
  <cols>
    <col min="1" max="1" width="3.21875" customWidth="1"/>
    <col min="2" max="2" width="22" customWidth="1"/>
    <col min="3" max="3" width="3.2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pivots</vt:lpstr>
      <vt:lpstr>Sheet5</vt:lpstr>
      <vt:lpstr>Sheet6</vt:lpstr>
      <vt:lpstr>Sheet7</vt:lpstr>
      <vt:lpstr>Sheet8</vt:lpstr>
      <vt:lpstr>Sheet9</vt:lpstr>
      <vt:lpstr>Questions &amp; KPIs</vt:lpstr>
      <vt:lpstr>Sheet10</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sutar</dc:creator>
  <cp:lastModifiedBy>Vaishnavi sutar</cp:lastModifiedBy>
  <dcterms:created xsi:type="dcterms:W3CDTF">2026-06-29T03:32:32Z</dcterms:created>
  <dcterms:modified xsi:type="dcterms:W3CDTF">2026-06-29T09:52:02Z</dcterms:modified>
</cp:coreProperties>
</file>